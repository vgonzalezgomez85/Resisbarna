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3250" windowHeight="12345"/>
  </bookViews>
  <sheets>
    <sheet name="Hoja1" sheetId="1" r:id="rId1"/>
    <sheet name="Superdome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I31" i="2" l="1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H7" i="1"/>
  <c r="H8" i="1"/>
  <c r="H4" i="1"/>
  <c r="H5" i="1"/>
  <c r="H9" i="1"/>
  <c r="H10" i="1"/>
  <c r="H11" i="1"/>
  <c r="H12" i="1"/>
  <c r="H27" i="1"/>
  <c r="H13" i="1"/>
  <c r="H14" i="1"/>
  <c r="H16" i="1"/>
  <c r="H17" i="1"/>
  <c r="H15" i="1"/>
  <c r="H20" i="1"/>
  <c r="H21" i="1"/>
  <c r="H18" i="1"/>
  <c r="H19" i="1"/>
  <c r="H43" i="1"/>
  <c r="H25" i="1"/>
  <c r="H26" i="1"/>
  <c r="H45" i="1"/>
  <c r="H46" i="1"/>
  <c r="H24" i="1"/>
  <c r="H52" i="1"/>
  <c r="H53" i="1"/>
  <c r="H23" i="1"/>
  <c r="H28" i="1"/>
  <c r="H90" i="1"/>
  <c r="H38" i="1"/>
  <c r="H33" i="1"/>
  <c r="H104" i="1"/>
  <c r="H105" i="1"/>
  <c r="H106" i="1"/>
  <c r="H107" i="1"/>
  <c r="H108" i="1"/>
  <c r="H109" i="1"/>
  <c r="H110" i="1"/>
  <c r="H111" i="1"/>
  <c r="H39" i="1"/>
  <c r="H40" i="1"/>
  <c r="H29" i="1"/>
  <c r="H30" i="1"/>
  <c r="H31" i="1"/>
  <c r="H32" i="1"/>
  <c r="H34" i="1"/>
  <c r="H35" i="1"/>
  <c r="H36" i="1"/>
  <c r="H37" i="1"/>
  <c r="H41" i="1"/>
  <c r="H42" i="1"/>
  <c r="H44" i="1"/>
  <c r="H47" i="1"/>
  <c r="H48" i="1"/>
  <c r="H49" i="1"/>
  <c r="H50" i="1"/>
  <c r="H51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22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6" i="1"/>
  <c r="AE49" i="1" l="1"/>
  <c r="AE50" i="1"/>
  <c r="AE51" i="1"/>
  <c r="AE52" i="1"/>
  <c r="AE53" i="1"/>
  <c r="AE54" i="1"/>
  <c r="AE55" i="1"/>
  <c r="AE56" i="1"/>
  <c r="AE57" i="1"/>
  <c r="AE58" i="1"/>
  <c r="AE59" i="1"/>
  <c r="AE60" i="1"/>
  <c r="AE48" i="1"/>
  <c r="AE11" i="1" l="1"/>
  <c r="AE8" i="1"/>
  <c r="AE22" i="1"/>
  <c r="AE23" i="1"/>
  <c r="AE25" i="1"/>
  <c r="AE26" i="1"/>
  <c r="AE27" i="1"/>
  <c r="AE28" i="1"/>
  <c r="AE29" i="1"/>
  <c r="AE21" i="1"/>
  <c r="AE10" i="1" l="1"/>
  <c r="AE9" i="1"/>
</calcChain>
</file>

<file path=xl/sharedStrings.xml><?xml version="1.0" encoding="utf-8"?>
<sst xmlns="http://schemas.openxmlformats.org/spreadsheetml/2006/main" count="334" uniqueCount="234">
  <si>
    <t xml:space="preserve">M. Lansac </t>
  </si>
  <si>
    <t>G. Portet</t>
  </si>
  <si>
    <t>J. Valbuena</t>
  </si>
  <si>
    <t>JMª Sererols</t>
  </si>
  <si>
    <t>E. Cerdà</t>
  </si>
  <si>
    <t>D. Izquierdo</t>
  </si>
  <si>
    <t>A. Tomas</t>
  </si>
  <si>
    <t>R. Sanchez</t>
  </si>
  <si>
    <t>A. Parera</t>
  </si>
  <si>
    <t>I. Gomez</t>
  </si>
  <si>
    <t>E. Repiso</t>
  </si>
  <si>
    <t>J. Perez</t>
  </si>
  <si>
    <t>JMª Molins</t>
  </si>
  <si>
    <t>O. Alarcon</t>
  </si>
  <si>
    <t>X. Aranda</t>
  </si>
  <si>
    <t>C. Carreño</t>
  </si>
  <si>
    <t>M. Casanovas</t>
  </si>
  <si>
    <t>C. Mañanes</t>
  </si>
  <si>
    <t>E. Illa</t>
  </si>
  <si>
    <t>B. Porta</t>
  </si>
  <si>
    <t>J. Simó</t>
  </si>
  <si>
    <t>M.Bonavida</t>
  </si>
  <si>
    <t>J. Robles</t>
  </si>
  <si>
    <t>I. Nevado</t>
  </si>
  <si>
    <t>V. Gonzalez</t>
  </si>
  <si>
    <t>V. Querol</t>
  </si>
  <si>
    <t>SLOTMANIA</t>
  </si>
  <si>
    <t>21H</t>
  </si>
  <si>
    <t>El Sot Team</t>
  </si>
  <si>
    <t>BiciEstacio</t>
  </si>
  <si>
    <t>Slot34you</t>
  </si>
  <si>
    <t>Estel.lats</t>
  </si>
  <si>
    <t>Momo</t>
  </si>
  <si>
    <t>Slotmania</t>
  </si>
  <si>
    <t>BSR Paddock</t>
  </si>
  <si>
    <t>SCM</t>
  </si>
  <si>
    <t>El Sot Fu</t>
  </si>
  <si>
    <t>Cric Crac</t>
  </si>
  <si>
    <t>El Sot Abarth</t>
  </si>
  <si>
    <t>Arreplegats</t>
  </si>
  <si>
    <t>20:30H</t>
  </si>
  <si>
    <t>Slot4You Cuidadin</t>
  </si>
  <si>
    <t>Slotmania 69 Warriors</t>
  </si>
  <si>
    <t>El Sot Horta</t>
  </si>
  <si>
    <t xml:space="preserve">Jueves 13 </t>
  </si>
  <si>
    <t>Viernes 14</t>
  </si>
  <si>
    <t>Crono 1</t>
  </si>
  <si>
    <t>Total</t>
  </si>
  <si>
    <t>22 gr</t>
  </si>
  <si>
    <t>5 gr</t>
  </si>
  <si>
    <t>3,5 gr</t>
  </si>
  <si>
    <t>2 gr</t>
  </si>
  <si>
    <t xml:space="preserve">5 gr </t>
  </si>
  <si>
    <t xml:space="preserve">Audi R18, R8 y Lola lola </t>
  </si>
  <si>
    <t>Audi E-tron y Lola Aston</t>
  </si>
  <si>
    <t>22,5 gr</t>
  </si>
  <si>
    <t>21 gr</t>
  </si>
  <si>
    <t>19,5 gr</t>
  </si>
  <si>
    <t>19 gr</t>
  </si>
  <si>
    <t>20,5 gr</t>
  </si>
  <si>
    <t>Crono</t>
  </si>
  <si>
    <t>Besay</t>
  </si>
  <si>
    <t>neo</t>
  </si>
  <si>
    <t>Ruben</t>
  </si>
  <si>
    <t>Alex</t>
  </si>
  <si>
    <t>Isra</t>
  </si>
  <si>
    <t>Valeri</t>
  </si>
  <si>
    <t>Cerda</t>
  </si>
  <si>
    <t>Serrerolds</t>
  </si>
  <si>
    <t>Adam</t>
  </si>
  <si>
    <t>Jordi</t>
  </si>
  <si>
    <t>Julen</t>
  </si>
  <si>
    <t>Marc</t>
  </si>
  <si>
    <t>Germas</t>
  </si>
  <si>
    <t>Karry</t>
  </si>
  <si>
    <t>Simo</t>
  </si>
  <si>
    <t>Victor</t>
  </si>
  <si>
    <t>Repiso</t>
  </si>
  <si>
    <t>Marc c</t>
  </si>
  <si>
    <t>Jorgito</t>
  </si>
  <si>
    <t>Jordi R</t>
  </si>
  <si>
    <t>Albert Lomba</t>
  </si>
  <si>
    <t>D izqueirdo</t>
  </si>
  <si>
    <t>A tomas</t>
  </si>
  <si>
    <t>Javi m</t>
  </si>
  <si>
    <t>lorenzo</t>
  </si>
  <si>
    <t xml:space="preserve">Isra </t>
  </si>
  <si>
    <t>Dario Biondi</t>
  </si>
  <si>
    <t>A. Lombarte</t>
  </si>
  <si>
    <t>A. Marin</t>
  </si>
  <si>
    <t>V. Jonama</t>
  </si>
  <si>
    <t>S. Saladrigas</t>
  </si>
  <si>
    <t>D. Celaya</t>
  </si>
  <si>
    <t>P. Fregosi</t>
  </si>
  <si>
    <t>CRONO</t>
  </si>
  <si>
    <t>TOTAL</t>
  </si>
  <si>
    <t>M. Magro</t>
  </si>
  <si>
    <t>A. Marzoa</t>
  </si>
  <si>
    <t>GRANOLLERS</t>
  </si>
  <si>
    <t>SUPERDOME</t>
  </si>
  <si>
    <t>sabado</t>
  </si>
  <si>
    <t>D. Biondi</t>
  </si>
  <si>
    <t>Lola</t>
  </si>
  <si>
    <t xml:space="preserve">4 gr. </t>
  </si>
  <si>
    <t xml:space="preserve">V. Jonama </t>
  </si>
  <si>
    <t>P. Mejias</t>
  </si>
  <si>
    <t>D. Mestre</t>
  </si>
  <si>
    <t>E. Mestre</t>
  </si>
  <si>
    <t>Jr. Muñoz</t>
  </si>
  <si>
    <t>R. Hernandez</t>
  </si>
  <si>
    <t>Jv. Muñoz</t>
  </si>
  <si>
    <t>L. Rodriguez</t>
  </si>
  <si>
    <t>Requena Slot 1</t>
  </si>
  <si>
    <t>Álvaro Iranzo</t>
  </si>
  <si>
    <t>Fran Hernández</t>
  </si>
  <si>
    <t>Sergio López</t>
  </si>
  <si>
    <t>Requena Slot 2</t>
  </si>
  <si>
    <t>Alejandro Martínez</t>
  </si>
  <si>
    <t>Vicente García</t>
  </si>
  <si>
    <t>Racing Pro Xàtiva</t>
  </si>
  <si>
    <t>Richard Pacheco</t>
  </si>
  <si>
    <t>Igor Baldrés</t>
  </si>
  <si>
    <t>Utiel ASV</t>
  </si>
  <si>
    <t>José Antonio Cárcel</t>
  </si>
  <si>
    <t>Juan Carlos Gómez</t>
  </si>
  <si>
    <t>Jose Mallols</t>
  </si>
  <si>
    <t>Guillermo Giménez</t>
  </si>
  <si>
    <t>Josep Mª Molins</t>
  </si>
  <si>
    <t>Besay Porta</t>
  </si>
  <si>
    <t>Oriol Capdevila</t>
  </si>
  <si>
    <t>SlotSAB</t>
  </si>
  <si>
    <t>Sergi Martínez</t>
  </si>
  <si>
    <t>Richard Arredondo</t>
  </si>
  <si>
    <t>Víctor León</t>
  </si>
  <si>
    <t>United Drivers 1</t>
  </si>
  <si>
    <t>Víctor González</t>
  </si>
  <si>
    <t>Sergi Solà</t>
  </si>
  <si>
    <t>Israel Nevado</t>
  </si>
  <si>
    <t>United Drivers 2</t>
  </si>
  <si>
    <t>Gabriel Rodríguez</t>
  </si>
  <si>
    <t>David Izquierdo</t>
  </si>
  <si>
    <t>Budellets</t>
  </si>
  <si>
    <t>Carles Cabeza</t>
  </si>
  <si>
    <t>Josep Andinyach</t>
  </si>
  <si>
    <t>Josep Vila</t>
  </si>
  <si>
    <t>Josep Marín</t>
  </si>
  <si>
    <t>SCM 1</t>
  </si>
  <si>
    <t>José Marcos García</t>
  </si>
  <si>
    <t>Fede Sánchez</t>
  </si>
  <si>
    <t>Jordi Cantos</t>
  </si>
  <si>
    <t>SCM 2</t>
  </si>
  <si>
    <t>Edgar Carmona</t>
  </si>
  <si>
    <t>Dani Vieira</t>
  </si>
  <si>
    <t>Sergio Díaz</t>
  </si>
  <si>
    <t>Andreu Martín</t>
  </si>
  <si>
    <t>Banyoles Slot Terrassa</t>
  </si>
  <si>
    <t>Domingo Segovia</t>
  </si>
  <si>
    <t>Moises Mas</t>
  </si>
  <si>
    <t>David Pi</t>
  </si>
  <si>
    <t>Ray Colacios</t>
  </si>
  <si>
    <t>Teknics Slot Terrassa</t>
  </si>
  <si>
    <t>Roger Bosch</t>
  </si>
  <si>
    <t>Javi Martínez</t>
  </si>
  <si>
    <t>Pere Roca</t>
  </si>
  <si>
    <t>Toni Gómez</t>
  </si>
  <si>
    <t>Germà Portet</t>
  </si>
  <si>
    <t>JulenValbuena</t>
  </si>
  <si>
    <t>Marc Lansac</t>
  </si>
  <si>
    <t>Slot Racing Gandía</t>
  </si>
  <si>
    <t>José Albelda</t>
  </si>
  <si>
    <t>Guzmán Puig</t>
  </si>
  <si>
    <t>Richard Puig</t>
  </si>
  <si>
    <t>4D Slot Terrassa</t>
  </si>
  <si>
    <t>Santi Mata</t>
  </si>
  <si>
    <t>Javier Valcárcel</t>
  </si>
  <si>
    <t>Albert Martínez</t>
  </si>
  <si>
    <t>Quim Albalate</t>
  </si>
  <si>
    <t>Jordi Robles</t>
  </si>
  <si>
    <t>Álex Robles</t>
  </si>
  <si>
    <t>Albert Lombarte</t>
  </si>
  <si>
    <t>El Sot New</t>
  </si>
  <si>
    <t>Manolo Márquez</t>
  </si>
  <si>
    <t>David Celaya</t>
  </si>
  <si>
    <t>Pablo Fregosi</t>
  </si>
  <si>
    <t>Albert Tràfach</t>
  </si>
  <si>
    <t>Eduard Cerdà</t>
  </si>
  <si>
    <t>JM Sererols</t>
  </si>
  <si>
    <t>Francesc Liñán</t>
  </si>
  <si>
    <t>Shell Slot Team</t>
  </si>
  <si>
    <t>Joan Fernández</t>
  </si>
  <si>
    <t>Edgar Marín</t>
  </si>
  <si>
    <t>Eduard Gil</t>
  </si>
  <si>
    <t>Eric Ruiz</t>
  </si>
  <si>
    <t>hot slot 34 you</t>
  </si>
  <si>
    <t>Adam Parera</t>
  </si>
  <si>
    <t>Marc Casanovas</t>
  </si>
  <si>
    <t>Sergi Saladrigas</t>
  </si>
  <si>
    <t>Alfons Unda</t>
  </si>
  <si>
    <t>Valeri  Jonama</t>
  </si>
  <si>
    <t>Israel Gomez</t>
  </si>
  <si>
    <t>STT Montroig</t>
  </si>
  <si>
    <t>Adria Pujol</t>
  </si>
  <si>
    <t>Paco Also</t>
  </si>
  <si>
    <t>Santi Tora</t>
  </si>
  <si>
    <t>I3D Terrassa</t>
  </si>
  <si>
    <t>Secun Rio</t>
  </si>
  <si>
    <t>Toni Lopez</t>
  </si>
  <si>
    <t>Ferry Borrell</t>
  </si>
  <si>
    <t>Ignasi Baldominos</t>
  </si>
  <si>
    <t>Dream Slot Estel·lats</t>
  </si>
  <si>
    <t>Jordi Simó</t>
  </si>
  <si>
    <t>Joel Mendizabal</t>
  </si>
  <si>
    <t>Carles Carreño</t>
  </si>
  <si>
    <t>Pol Garcia</t>
  </si>
  <si>
    <t>Granollers Racing</t>
  </si>
  <si>
    <t>Enric Illa</t>
  </si>
  <si>
    <t>Carlos Mañanes</t>
  </si>
  <si>
    <t>Carlos Repiso</t>
  </si>
  <si>
    <t>Model Hobby Red</t>
  </si>
  <si>
    <t>JA Caravantes</t>
  </si>
  <si>
    <t>manel soriano</t>
  </si>
  <si>
    <t>Alberto bolsa</t>
  </si>
  <si>
    <t>Oscar capel</t>
  </si>
  <si>
    <t>El sot sport</t>
  </si>
  <si>
    <t>Ruben Sanchez</t>
  </si>
  <si>
    <t>Alex Marin</t>
  </si>
  <si>
    <t>Edu urrutia</t>
  </si>
  <si>
    <t>Angel</t>
  </si>
  <si>
    <t>JMª Martinez</t>
  </si>
  <si>
    <t>Grup slot Ontinyent</t>
  </si>
  <si>
    <t>Lorenzo</t>
  </si>
  <si>
    <t>O.capdevila</t>
  </si>
  <si>
    <t>Alex robles</t>
  </si>
  <si>
    <t>M. Marquez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</si>
</sst>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R111"/>
  <sheetViews>
    <sheetView tabSelected="1" workbookViewId="0">
      <selection activeCell="K9" sqref="K9"/>
    </sheetView>
  </sheetViews>
  <sheetFormatPr baseColWidth="10" defaultRowHeight="15" x14ac:dyDescent="0.25"/>
  <cols>
    <col min="2" max="2" width="31.85546875" customWidth="1"/>
    <col min="3" max="3" width="2.42578125" customWidth="1"/>
    <col min="5" max="5" width="7.5703125" style="4" bestFit="1" customWidth="1"/>
    <col min="6" max="6" width="12.42578125" style="1" bestFit="1" customWidth="1"/>
    <col min="7" max="7" width="12" style="1" bestFit="1" customWidth="1"/>
    <col min="8" max="8" width="11.42578125" style="15"/>
    <col min="9" max="11" width="11.42578125" style="4"/>
    <col min="12" max="12" width="27.140625" style="4" bestFit="1" customWidth="1"/>
    <col min="13" max="13" width="22.85546875" style="4" bestFit="1" customWidth="1"/>
    <col min="14" max="14" width="22.42578125" style="4" bestFit="1" customWidth="1"/>
    <col min="15" max="15" width="19.42578125" style="4" bestFit="1" customWidth="1"/>
    <col min="16" max="16" width="22.42578125" style="4" bestFit="1" customWidth="1"/>
    <col min="17" max="23" width="11.42578125" style="4"/>
    <col min="25" max="25" width="28.7109375" customWidth="1"/>
    <col min="26" max="26" width="3.85546875" customWidth="1"/>
    <col min="27" max="27" width="3.7109375" customWidth="1"/>
    <col min="28" max="28" width="3" bestFit="1" customWidth="1"/>
    <col min="29" max="30" width="3" customWidth="1"/>
    <col min="34" max="34" width="20.7109375" customWidth="1"/>
    <col min="35" max="35" width="1.85546875" customWidth="1"/>
    <col min="38" max="38" width="20.28515625" style="1" bestFit="1" customWidth="1"/>
    <col min="39" max="39" width="20.5703125" bestFit="1" customWidth="1"/>
  </cols>
  <sheetData>
    <row r="2" spans="1:39" x14ac:dyDescent="0.25">
      <c r="AL2" s="2" t="s">
        <v>53</v>
      </c>
      <c r="AM2" s="3" t="s">
        <v>54</v>
      </c>
    </row>
    <row r="3" spans="1:39" x14ac:dyDescent="0.25">
      <c r="D3" t="s">
        <v>26</v>
      </c>
      <c r="E3" s="4" t="s">
        <v>94</v>
      </c>
      <c r="F3" s="1" t="s">
        <v>98</v>
      </c>
      <c r="G3" s="1" t="s">
        <v>99</v>
      </c>
      <c r="H3" s="15" t="s">
        <v>95</v>
      </c>
      <c r="AJ3" t="s">
        <v>102</v>
      </c>
      <c r="AK3" t="s">
        <v>47</v>
      </c>
      <c r="AL3" s="1" t="s">
        <v>47</v>
      </c>
      <c r="AM3" s="1" t="s">
        <v>47</v>
      </c>
    </row>
    <row r="4" spans="1:39" x14ac:dyDescent="0.25">
      <c r="A4">
        <v>1</v>
      </c>
      <c r="B4" t="s">
        <v>19</v>
      </c>
      <c r="D4" s="5">
        <v>43</v>
      </c>
      <c r="E4" s="1">
        <v>70</v>
      </c>
      <c r="F4" s="1">
        <v>64</v>
      </c>
      <c r="G4" s="1">
        <v>140</v>
      </c>
      <c r="H4" s="15">
        <f>SUM(D4:G4)</f>
        <v>317</v>
      </c>
      <c r="AH4" t="s">
        <v>0</v>
      </c>
      <c r="AJ4" s="1" t="s">
        <v>52</v>
      </c>
      <c r="AK4" s="1"/>
      <c r="AL4" s="1" t="s">
        <v>48</v>
      </c>
      <c r="AM4" s="1" t="s">
        <v>55</v>
      </c>
    </row>
    <row r="5" spans="1:39" x14ac:dyDescent="0.25">
      <c r="A5">
        <v>1</v>
      </c>
      <c r="B5" t="s">
        <v>12</v>
      </c>
      <c r="D5" s="5">
        <v>43</v>
      </c>
      <c r="E5" s="1">
        <v>70</v>
      </c>
      <c r="F5" s="1">
        <v>64</v>
      </c>
      <c r="G5" s="1">
        <v>140</v>
      </c>
      <c r="H5" s="15">
        <f>SUM(D5:G5)</f>
        <v>317</v>
      </c>
      <c r="AH5" t="s">
        <v>2</v>
      </c>
      <c r="AJ5" s="1" t="s">
        <v>49</v>
      </c>
      <c r="AK5" s="1"/>
      <c r="AL5" s="1" t="s">
        <v>48</v>
      </c>
      <c r="AM5" s="1" t="s">
        <v>55</v>
      </c>
    </row>
    <row r="6" spans="1:39" x14ac:dyDescent="0.25">
      <c r="A6">
        <v>2</v>
      </c>
      <c r="B6" t="s">
        <v>9</v>
      </c>
      <c r="D6" s="1">
        <v>55</v>
      </c>
      <c r="E6" s="1">
        <v>59</v>
      </c>
      <c r="F6" s="1">
        <v>70</v>
      </c>
      <c r="G6" s="1">
        <v>96</v>
      </c>
      <c r="H6" s="15">
        <f>SUM(D6:G6)</f>
        <v>280</v>
      </c>
      <c r="Y6" t="s">
        <v>44</v>
      </c>
      <c r="AE6" t="s">
        <v>40</v>
      </c>
      <c r="AH6" t="s">
        <v>3</v>
      </c>
      <c r="AJ6" s="1" t="s">
        <v>50</v>
      </c>
      <c r="AK6" s="1"/>
      <c r="AL6" s="1" t="s">
        <v>59</v>
      </c>
      <c r="AM6" s="1" t="s">
        <v>56</v>
      </c>
    </row>
    <row r="7" spans="1:39" x14ac:dyDescent="0.25">
      <c r="A7">
        <v>3</v>
      </c>
      <c r="B7" t="s">
        <v>3</v>
      </c>
      <c r="D7" s="1">
        <v>64</v>
      </c>
      <c r="E7" s="1">
        <v>55</v>
      </c>
      <c r="F7" s="1">
        <v>59</v>
      </c>
      <c r="G7" s="1">
        <v>100</v>
      </c>
      <c r="H7" s="15">
        <f t="shared" ref="H7:H111" si="0">SUM(D7:G7)</f>
        <v>278</v>
      </c>
      <c r="AH7" t="s">
        <v>4</v>
      </c>
      <c r="AJ7" s="1" t="s">
        <v>50</v>
      </c>
      <c r="AK7" s="1"/>
      <c r="AL7" s="1" t="s">
        <v>59</v>
      </c>
      <c r="AM7" s="1" t="s">
        <v>56</v>
      </c>
    </row>
    <row r="8" spans="1:39" x14ac:dyDescent="0.25">
      <c r="A8">
        <v>3</v>
      </c>
      <c r="B8" t="s">
        <v>4</v>
      </c>
      <c r="D8" s="1">
        <v>64</v>
      </c>
      <c r="E8" s="1">
        <v>55</v>
      </c>
      <c r="F8" s="1">
        <v>59</v>
      </c>
      <c r="G8" s="1">
        <v>100</v>
      </c>
      <c r="H8" s="15">
        <f t="shared" si="0"/>
        <v>278</v>
      </c>
      <c r="X8">
        <v>1</v>
      </c>
      <c r="Y8" t="s">
        <v>37</v>
      </c>
      <c r="AB8">
        <v>55</v>
      </c>
      <c r="AC8">
        <v>59</v>
      </c>
      <c r="AD8">
        <v>59</v>
      </c>
      <c r="AE8">
        <f>SUM(AA8:AD8)/4</f>
        <v>43.25</v>
      </c>
      <c r="AH8" t="s">
        <v>5</v>
      </c>
      <c r="AJ8" s="1" t="s">
        <v>51</v>
      </c>
      <c r="AK8" s="1"/>
      <c r="AL8" s="1" t="s">
        <v>58</v>
      </c>
      <c r="AM8" s="1" t="s">
        <v>57</v>
      </c>
    </row>
    <row r="9" spans="1:39" x14ac:dyDescent="0.25">
      <c r="A9">
        <v>4</v>
      </c>
      <c r="B9" t="s">
        <v>0</v>
      </c>
      <c r="D9" s="1">
        <v>70</v>
      </c>
      <c r="E9" s="1">
        <v>50</v>
      </c>
      <c r="F9" s="1">
        <v>40</v>
      </c>
      <c r="G9" s="1">
        <v>110</v>
      </c>
      <c r="H9" s="15">
        <f t="shared" si="0"/>
        <v>270</v>
      </c>
      <c r="X9">
        <v>2</v>
      </c>
      <c r="Y9" t="s">
        <v>43</v>
      </c>
      <c r="AB9">
        <v>52</v>
      </c>
      <c r="AE9">
        <f>+AB9/2</f>
        <v>26</v>
      </c>
      <c r="AH9" t="s">
        <v>6</v>
      </c>
      <c r="AJ9" s="1" t="s">
        <v>51</v>
      </c>
      <c r="AK9" s="1"/>
      <c r="AL9" s="1" t="s">
        <v>58</v>
      </c>
      <c r="AM9" s="1" t="s">
        <v>57</v>
      </c>
    </row>
    <row r="10" spans="1:39" x14ac:dyDescent="0.25">
      <c r="A10">
        <v>4</v>
      </c>
      <c r="B10" t="s">
        <v>1</v>
      </c>
      <c r="D10" s="1">
        <v>70</v>
      </c>
      <c r="E10" s="1">
        <v>50</v>
      </c>
      <c r="F10" s="1">
        <v>40</v>
      </c>
      <c r="G10" s="1">
        <v>110</v>
      </c>
      <c r="H10" s="15">
        <f t="shared" si="0"/>
        <v>270</v>
      </c>
      <c r="X10">
        <v>3</v>
      </c>
      <c r="Y10" t="s">
        <v>36</v>
      </c>
      <c r="AB10">
        <v>52</v>
      </c>
      <c r="AE10">
        <f>+AB10/2</f>
        <v>26</v>
      </c>
      <c r="AH10" t="s">
        <v>7</v>
      </c>
      <c r="AJ10" s="1" t="s">
        <v>103</v>
      </c>
      <c r="AK10" s="1"/>
      <c r="AL10" s="1" t="s">
        <v>58</v>
      </c>
      <c r="AM10" s="1" t="s">
        <v>57</v>
      </c>
    </row>
    <row r="11" spans="1:39" x14ac:dyDescent="0.25">
      <c r="A11">
        <v>4</v>
      </c>
      <c r="B11" t="s">
        <v>2</v>
      </c>
      <c r="D11" s="1">
        <v>70</v>
      </c>
      <c r="E11" s="1">
        <v>50</v>
      </c>
      <c r="F11" s="1">
        <v>40</v>
      </c>
      <c r="G11" s="1">
        <v>110</v>
      </c>
      <c r="H11" s="15">
        <f t="shared" si="0"/>
        <v>270</v>
      </c>
      <c r="X11">
        <v>4</v>
      </c>
      <c r="Y11" t="s">
        <v>41</v>
      </c>
      <c r="AB11">
        <v>44</v>
      </c>
      <c r="AC11">
        <v>44</v>
      </c>
      <c r="AD11">
        <v>44</v>
      </c>
      <c r="AE11">
        <f>SUM(AA11:AD11)/4</f>
        <v>33</v>
      </c>
      <c r="AH11" t="s">
        <v>9</v>
      </c>
      <c r="AJ11" s="1" t="s">
        <v>50</v>
      </c>
      <c r="AK11" s="1"/>
      <c r="AM11" s="1"/>
    </row>
    <row r="12" spans="1:39" x14ac:dyDescent="0.25">
      <c r="A12">
        <v>5</v>
      </c>
      <c r="B12" t="s">
        <v>8</v>
      </c>
      <c r="D12" s="1">
        <v>55</v>
      </c>
      <c r="E12" s="1">
        <v>52</v>
      </c>
      <c r="F12" s="1">
        <v>52</v>
      </c>
      <c r="G12" s="1">
        <v>84</v>
      </c>
      <c r="H12" s="15">
        <f t="shared" si="0"/>
        <v>243</v>
      </c>
      <c r="X12">
        <v>5</v>
      </c>
      <c r="Y12" t="s">
        <v>35</v>
      </c>
      <c r="AH12" t="s">
        <v>104</v>
      </c>
      <c r="AJ12" s="1" t="s">
        <v>50</v>
      </c>
      <c r="AK12" s="1"/>
      <c r="AM12" s="1"/>
    </row>
    <row r="13" spans="1:39" x14ac:dyDescent="0.25">
      <c r="A13">
        <v>6</v>
      </c>
      <c r="B13" t="s">
        <v>20</v>
      </c>
      <c r="D13" s="1">
        <v>48</v>
      </c>
      <c r="E13" s="1">
        <v>48</v>
      </c>
      <c r="F13" s="1">
        <v>50</v>
      </c>
      <c r="G13" s="1">
        <v>88</v>
      </c>
      <c r="H13" s="15">
        <f t="shared" si="0"/>
        <v>234</v>
      </c>
      <c r="X13">
        <v>8</v>
      </c>
      <c r="Y13" t="s">
        <v>46</v>
      </c>
      <c r="AK13" s="1"/>
    </row>
    <row r="14" spans="1:39" x14ac:dyDescent="0.25">
      <c r="A14">
        <v>7</v>
      </c>
      <c r="B14" t="s">
        <v>15</v>
      </c>
      <c r="D14" s="1">
        <v>44</v>
      </c>
      <c r="E14" s="1">
        <v>48</v>
      </c>
      <c r="F14" s="1">
        <v>50</v>
      </c>
      <c r="G14" s="1">
        <v>88</v>
      </c>
      <c r="H14" s="15">
        <f t="shared" si="0"/>
        <v>230</v>
      </c>
      <c r="AH14" t="s">
        <v>60</v>
      </c>
    </row>
    <row r="15" spans="1:39" x14ac:dyDescent="0.25">
      <c r="A15">
        <v>8</v>
      </c>
      <c r="B15" t="s">
        <v>90</v>
      </c>
      <c r="D15" s="1"/>
      <c r="E15" s="1">
        <v>59</v>
      </c>
      <c r="F15" s="1">
        <v>70</v>
      </c>
      <c r="G15" s="1">
        <v>96</v>
      </c>
      <c r="H15" s="15">
        <f>SUM(D15:G15)</f>
        <v>225</v>
      </c>
      <c r="X15">
        <v>6</v>
      </c>
      <c r="Y15" t="s">
        <v>33</v>
      </c>
      <c r="AH15" t="s">
        <v>12</v>
      </c>
      <c r="AJ15" s="1" t="s">
        <v>52</v>
      </c>
    </row>
    <row r="16" spans="1:39" x14ac:dyDescent="0.25">
      <c r="A16">
        <v>9</v>
      </c>
      <c r="B16" t="s">
        <v>22</v>
      </c>
      <c r="D16" s="1">
        <v>52</v>
      </c>
      <c r="E16" s="1">
        <v>43</v>
      </c>
      <c r="F16" s="1">
        <v>48</v>
      </c>
      <c r="G16" s="1">
        <v>82</v>
      </c>
      <c r="H16" s="15">
        <f t="shared" si="0"/>
        <v>225</v>
      </c>
      <c r="X16">
        <v>7</v>
      </c>
      <c r="Y16" t="s">
        <v>42</v>
      </c>
      <c r="AH16" t="s">
        <v>19</v>
      </c>
      <c r="AJ16" s="1" t="s">
        <v>49</v>
      </c>
      <c r="AK16" s="1"/>
    </row>
    <row r="17" spans="1:44" x14ac:dyDescent="0.25">
      <c r="A17">
        <v>10</v>
      </c>
      <c r="B17" t="s">
        <v>16</v>
      </c>
      <c r="D17" s="1">
        <v>44</v>
      </c>
      <c r="E17" s="1">
        <v>44</v>
      </c>
      <c r="F17" s="1">
        <v>52</v>
      </c>
      <c r="G17" s="1">
        <v>84</v>
      </c>
      <c r="H17" s="15">
        <f t="shared" si="0"/>
        <v>224</v>
      </c>
      <c r="AK17" s="1"/>
    </row>
    <row r="18" spans="1:44" x14ac:dyDescent="0.25">
      <c r="A18">
        <v>11</v>
      </c>
      <c r="B18" t="s">
        <v>7</v>
      </c>
      <c r="D18" s="1">
        <v>59</v>
      </c>
      <c r="E18" s="1">
        <v>64</v>
      </c>
      <c r="G18" s="1">
        <v>86</v>
      </c>
      <c r="H18" s="15">
        <f>SUM(D18:G18)</f>
        <v>209</v>
      </c>
      <c r="AK18" s="1"/>
    </row>
    <row r="19" spans="1:44" x14ac:dyDescent="0.25">
      <c r="A19">
        <v>12</v>
      </c>
      <c r="B19" t="s">
        <v>5</v>
      </c>
      <c r="D19" s="1">
        <v>59</v>
      </c>
      <c r="E19" s="1">
        <v>42</v>
      </c>
      <c r="G19" s="1">
        <v>104</v>
      </c>
      <c r="H19" s="15">
        <f>SUM(D19:G19)</f>
        <v>205</v>
      </c>
      <c r="Y19" t="s">
        <v>45</v>
      </c>
      <c r="AE19" t="s">
        <v>27</v>
      </c>
    </row>
    <row r="20" spans="1:44" x14ac:dyDescent="0.25">
      <c r="A20">
        <v>13</v>
      </c>
      <c r="B20" t="s">
        <v>23</v>
      </c>
      <c r="D20" s="1">
        <v>42</v>
      </c>
      <c r="E20" s="1">
        <v>39</v>
      </c>
      <c r="F20" s="1">
        <v>43</v>
      </c>
      <c r="G20" s="1">
        <v>54</v>
      </c>
      <c r="H20" s="15">
        <f t="shared" si="0"/>
        <v>178</v>
      </c>
      <c r="AH20">
        <v>1</v>
      </c>
      <c r="AI20" t="s">
        <v>61</v>
      </c>
      <c r="AJ20">
        <v>70</v>
      </c>
    </row>
    <row r="21" spans="1:44" x14ac:dyDescent="0.25">
      <c r="A21">
        <v>13</v>
      </c>
      <c r="B21" t="s">
        <v>24</v>
      </c>
      <c r="D21" s="1">
        <v>42</v>
      </c>
      <c r="E21" s="1">
        <v>39</v>
      </c>
      <c r="F21" s="1">
        <v>43</v>
      </c>
      <c r="G21" s="1">
        <v>54</v>
      </c>
      <c r="H21" s="15">
        <f t="shared" si="0"/>
        <v>178</v>
      </c>
      <c r="X21">
        <v>1</v>
      </c>
      <c r="Y21" t="s">
        <v>39</v>
      </c>
      <c r="AA21">
        <v>70</v>
      </c>
      <c r="AB21">
        <v>70</v>
      </c>
      <c r="AC21">
        <v>50</v>
      </c>
      <c r="AD21">
        <v>50</v>
      </c>
      <c r="AE21">
        <f>SUM(AA21:AD21)/4</f>
        <v>60</v>
      </c>
      <c r="AH21">
        <v>1</v>
      </c>
      <c r="AI21" t="s">
        <v>62</v>
      </c>
      <c r="AJ21">
        <v>70</v>
      </c>
    </row>
    <row r="22" spans="1:44" x14ac:dyDescent="0.25">
      <c r="A22">
        <v>13</v>
      </c>
      <c r="B22" t="s">
        <v>136</v>
      </c>
      <c r="D22" s="1">
        <v>42</v>
      </c>
      <c r="E22" s="1">
        <v>39</v>
      </c>
      <c r="F22" s="1">
        <v>43</v>
      </c>
      <c r="G22" s="1">
        <v>54</v>
      </c>
      <c r="H22" s="15">
        <f>SUM(D22:G22)</f>
        <v>178</v>
      </c>
      <c r="X22">
        <v>2</v>
      </c>
      <c r="Y22" t="s">
        <v>28</v>
      </c>
      <c r="AA22">
        <v>64</v>
      </c>
      <c r="AB22">
        <v>64</v>
      </c>
      <c r="AC22">
        <v>55</v>
      </c>
      <c r="AD22">
        <v>55</v>
      </c>
      <c r="AE22">
        <f t="shared" ref="AE22:AE29" si="1">SUM(AA22:AD22)/4</f>
        <v>59.5</v>
      </c>
      <c r="AH22">
        <v>2</v>
      </c>
      <c r="AI22" t="s">
        <v>63</v>
      </c>
      <c r="AJ22">
        <v>64</v>
      </c>
    </row>
    <row r="23" spans="1:44" x14ac:dyDescent="0.25">
      <c r="A23">
        <v>14</v>
      </c>
      <c r="B23" t="s">
        <v>111</v>
      </c>
      <c r="D23" s="1"/>
      <c r="E23" s="1">
        <v>40</v>
      </c>
      <c r="F23" s="1">
        <v>44</v>
      </c>
      <c r="G23" s="1">
        <v>92</v>
      </c>
      <c r="H23" s="15">
        <f>SUM(D23:G23)</f>
        <v>176</v>
      </c>
      <c r="X23">
        <v>3</v>
      </c>
      <c r="Y23" t="s">
        <v>29</v>
      </c>
      <c r="AA23">
        <v>59</v>
      </c>
      <c r="AB23">
        <v>59</v>
      </c>
      <c r="AC23">
        <v>42</v>
      </c>
      <c r="AD23">
        <v>42</v>
      </c>
      <c r="AE23">
        <f t="shared" si="1"/>
        <v>50.5</v>
      </c>
      <c r="AH23">
        <v>2</v>
      </c>
      <c r="AI23" t="s">
        <v>64</v>
      </c>
      <c r="AJ23">
        <v>64</v>
      </c>
    </row>
    <row r="24" spans="1:44" x14ac:dyDescent="0.25">
      <c r="A24">
        <v>15</v>
      </c>
      <c r="B24" t="s">
        <v>88</v>
      </c>
      <c r="D24" s="1"/>
      <c r="E24" s="1">
        <v>43</v>
      </c>
      <c r="F24" s="1">
        <v>48</v>
      </c>
      <c r="G24" s="1">
        <v>82</v>
      </c>
      <c r="H24" s="15">
        <f>SUM(D24:G24)</f>
        <v>173</v>
      </c>
      <c r="AH24" t="s">
        <v>1</v>
      </c>
      <c r="AJ24" s="1" t="s">
        <v>49</v>
      </c>
      <c r="AK24" s="1"/>
      <c r="AL24" s="1" t="s">
        <v>48</v>
      </c>
      <c r="AM24" s="1" t="s">
        <v>55</v>
      </c>
    </row>
    <row r="25" spans="1:44" x14ac:dyDescent="0.25">
      <c r="A25">
        <v>16</v>
      </c>
      <c r="B25" t="s">
        <v>18</v>
      </c>
      <c r="D25" s="1">
        <v>46</v>
      </c>
      <c r="E25" s="1"/>
      <c r="F25" s="1">
        <v>55</v>
      </c>
      <c r="G25" s="1">
        <v>60</v>
      </c>
      <c r="H25" s="15">
        <f>SUM(D25:G25)</f>
        <v>161</v>
      </c>
      <c r="X25">
        <v>4</v>
      </c>
      <c r="Y25" t="s">
        <v>30</v>
      </c>
      <c r="AA25">
        <v>55</v>
      </c>
      <c r="AB25">
        <v>48</v>
      </c>
      <c r="AC25">
        <v>52</v>
      </c>
      <c r="AD25">
        <v>52</v>
      </c>
      <c r="AE25">
        <f t="shared" si="1"/>
        <v>51.75</v>
      </c>
      <c r="AH25">
        <v>3</v>
      </c>
      <c r="AI25" t="s">
        <v>65</v>
      </c>
      <c r="AJ25">
        <v>59</v>
      </c>
    </row>
    <row r="26" spans="1:44" x14ac:dyDescent="0.25">
      <c r="A26">
        <v>17</v>
      </c>
      <c r="B26" t="s">
        <v>10</v>
      </c>
      <c r="D26" s="1">
        <v>50</v>
      </c>
      <c r="E26" s="1">
        <v>46</v>
      </c>
      <c r="G26" s="1">
        <v>60</v>
      </c>
      <c r="H26" s="15">
        <f>SUM(D26:G26)</f>
        <v>156</v>
      </c>
      <c r="X26">
        <v>5</v>
      </c>
      <c r="Y26" t="s">
        <v>38</v>
      </c>
      <c r="AA26">
        <v>50</v>
      </c>
      <c r="AB26">
        <v>50</v>
      </c>
      <c r="AC26">
        <v>46</v>
      </c>
      <c r="AD26">
        <v>46</v>
      </c>
      <c r="AE26">
        <f t="shared" si="1"/>
        <v>48</v>
      </c>
      <c r="AH26">
        <v>3</v>
      </c>
      <c r="AI26" t="s">
        <v>66</v>
      </c>
      <c r="AJ26">
        <v>59</v>
      </c>
    </row>
    <row r="27" spans="1:44" x14ac:dyDescent="0.25">
      <c r="A27">
        <v>18</v>
      </c>
      <c r="B27" t="s">
        <v>11</v>
      </c>
      <c r="D27" s="1">
        <v>48</v>
      </c>
      <c r="E27" s="1">
        <v>52</v>
      </c>
      <c r="F27" s="1">
        <v>52</v>
      </c>
      <c r="H27" s="15">
        <f>SUM(D27:G27)</f>
        <v>152</v>
      </c>
      <c r="X27">
        <v>6</v>
      </c>
      <c r="Y27" t="s">
        <v>32</v>
      </c>
      <c r="AA27">
        <v>43</v>
      </c>
      <c r="AB27">
        <v>43</v>
      </c>
      <c r="AC27">
        <v>70</v>
      </c>
      <c r="AD27">
        <v>70</v>
      </c>
      <c r="AE27">
        <f t="shared" si="1"/>
        <v>56.5</v>
      </c>
      <c r="AH27">
        <v>4</v>
      </c>
      <c r="AI27" t="s">
        <v>67</v>
      </c>
      <c r="AJ27">
        <v>55</v>
      </c>
    </row>
    <row r="28" spans="1:44" x14ac:dyDescent="0.25">
      <c r="A28">
        <v>19</v>
      </c>
      <c r="B28" t="s">
        <v>89</v>
      </c>
      <c r="D28" s="1"/>
      <c r="E28" s="1">
        <v>64</v>
      </c>
      <c r="G28" s="1">
        <v>86</v>
      </c>
      <c r="H28" s="15">
        <f>SUM(D28:G28)</f>
        <v>150</v>
      </c>
      <c r="X28">
        <v>7</v>
      </c>
      <c r="Y28" t="s">
        <v>31</v>
      </c>
      <c r="AA28">
        <v>48</v>
      </c>
      <c r="AB28">
        <v>44</v>
      </c>
      <c r="AC28">
        <v>48</v>
      </c>
      <c r="AD28">
        <v>48</v>
      </c>
      <c r="AE28">
        <f t="shared" si="1"/>
        <v>47</v>
      </c>
      <c r="AH28">
        <v>4</v>
      </c>
      <c r="AI28" t="s">
        <v>68</v>
      </c>
      <c r="AJ28">
        <v>55</v>
      </c>
    </row>
    <row r="29" spans="1:44" x14ac:dyDescent="0.25">
      <c r="A29">
        <v>20</v>
      </c>
      <c r="B29" t="s">
        <v>231</v>
      </c>
      <c r="G29" s="1">
        <v>140</v>
      </c>
      <c r="H29" s="15">
        <f>SUM(D29:G29)</f>
        <v>140</v>
      </c>
      <c r="X29">
        <v>8</v>
      </c>
      <c r="Y29" t="s">
        <v>34</v>
      </c>
      <c r="AA29">
        <v>42</v>
      </c>
      <c r="AB29">
        <v>42</v>
      </c>
      <c r="AC29">
        <v>39</v>
      </c>
      <c r="AD29">
        <v>39</v>
      </c>
      <c r="AE29">
        <f t="shared" si="1"/>
        <v>40.5</v>
      </c>
      <c r="AH29">
        <v>5</v>
      </c>
      <c r="AI29" t="s">
        <v>69</v>
      </c>
      <c r="AJ29">
        <v>52</v>
      </c>
    </row>
    <row r="30" spans="1:44" x14ac:dyDescent="0.25">
      <c r="A30">
        <v>21</v>
      </c>
      <c r="B30" t="s">
        <v>113</v>
      </c>
      <c r="G30" s="1">
        <v>128</v>
      </c>
      <c r="H30" s="15">
        <f>SUM(D30:G30)</f>
        <v>128</v>
      </c>
      <c r="AH30">
        <v>5</v>
      </c>
      <c r="AI30" t="s">
        <v>70</v>
      </c>
      <c r="AJ30">
        <v>52</v>
      </c>
    </row>
    <row r="31" spans="1:44" x14ac:dyDescent="0.25">
      <c r="A31">
        <v>21</v>
      </c>
      <c r="B31" t="s">
        <v>114</v>
      </c>
      <c r="G31" s="1">
        <v>128</v>
      </c>
      <c r="H31" s="15">
        <f>SUM(D31:G31)</f>
        <v>128</v>
      </c>
      <c r="Y31" t="s">
        <v>100</v>
      </c>
      <c r="AH31">
        <v>6</v>
      </c>
      <c r="AI31" t="s">
        <v>71</v>
      </c>
      <c r="AJ31">
        <v>50</v>
      </c>
      <c r="AO31">
        <v>8</v>
      </c>
      <c r="AP31" t="s">
        <v>76</v>
      </c>
      <c r="AQ31">
        <v>46</v>
      </c>
      <c r="AR31" s="1"/>
    </row>
    <row r="32" spans="1:44" x14ac:dyDescent="0.25">
      <c r="A32">
        <v>21</v>
      </c>
      <c r="B32" t="s">
        <v>115</v>
      </c>
      <c r="G32" s="1">
        <v>128</v>
      </c>
      <c r="H32" s="15">
        <f>SUM(D32:G32)</f>
        <v>128</v>
      </c>
      <c r="AH32">
        <v>6</v>
      </c>
      <c r="AI32" t="s">
        <v>72</v>
      </c>
      <c r="AJ32">
        <v>50</v>
      </c>
      <c r="AO32">
        <v>8</v>
      </c>
      <c r="AP32" t="s">
        <v>77</v>
      </c>
      <c r="AQ32">
        <v>46</v>
      </c>
      <c r="AR32" s="1"/>
    </row>
    <row r="33" spans="1:44" x14ac:dyDescent="0.25">
      <c r="A33">
        <v>22</v>
      </c>
      <c r="B33" t="s">
        <v>91</v>
      </c>
      <c r="D33" s="1"/>
      <c r="E33" s="1">
        <v>44</v>
      </c>
      <c r="G33" s="1">
        <v>84</v>
      </c>
      <c r="H33" s="15">
        <f>SUM(D33:G33)</f>
        <v>128</v>
      </c>
      <c r="AH33">
        <v>6</v>
      </c>
      <c r="AI33" t="s">
        <v>73</v>
      </c>
      <c r="AJ33">
        <v>50</v>
      </c>
      <c r="AO33">
        <v>9</v>
      </c>
      <c r="AP33" t="s">
        <v>78</v>
      </c>
      <c r="AQ33">
        <v>44</v>
      </c>
      <c r="AR33" s="1"/>
    </row>
    <row r="34" spans="1:44" x14ac:dyDescent="0.25">
      <c r="A34">
        <v>23</v>
      </c>
      <c r="B34" t="s">
        <v>205</v>
      </c>
      <c r="G34" s="1">
        <v>118</v>
      </c>
      <c r="H34" s="15">
        <f>SUM(D34:G34)</f>
        <v>118</v>
      </c>
      <c r="AH34">
        <v>7</v>
      </c>
      <c r="AI34" t="s">
        <v>74</v>
      </c>
      <c r="AJ34">
        <v>48</v>
      </c>
      <c r="AO34">
        <v>9</v>
      </c>
      <c r="AP34" t="s">
        <v>79</v>
      </c>
      <c r="AQ34">
        <v>44</v>
      </c>
      <c r="AR34" s="1"/>
    </row>
    <row r="35" spans="1:44" x14ac:dyDescent="0.25">
      <c r="A35">
        <v>23</v>
      </c>
      <c r="B35" t="s">
        <v>206</v>
      </c>
      <c r="G35" s="1">
        <v>118</v>
      </c>
      <c r="H35" s="15">
        <f>SUM(D35:G35)</f>
        <v>118</v>
      </c>
      <c r="AH35">
        <v>7</v>
      </c>
      <c r="AI35" t="s">
        <v>75</v>
      </c>
      <c r="AJ35">
        <v>48</v>
      </c>
      <c r="AO35">
        <v>10</v>
      </c>
      <c r="AP35" t="s">
        <v>80</v>
      </c>
      <c r="AQ35">
        <v>43</v>
      </c>
      <c r="AR35" s="1"/>
    </row>
    <row r="36" spans="1:44" x14ac:dyDescent="0.25">
      <c r="A36">
        <v>23</v>
      </c>
      <c r="B36" t="s">
        <v>207</v>
      </c>
      <c r="G36" s="1">
        <v>118</v>
      </c>
      <c r="H36" s="15">
        <f>SUM(D36:G36)</f>
        <v>118</v>
      </c>
      <c r="AL36"/>
      <c r="AO36">
        <v>10</v>
      </c>
      <c r="AP36" t="s">
        <v>81</v>
      </c>
      <c r="AQ36">
        <v>43</v>
      </c>
      <c r="AR36" s="1"/>
    </row>
    <row r="37" spans="1:44" x14ac:dyDescent="0.25">
      <c r="A37">
        <v>23</v>
      </c>
      <c r="B37" t="s">
        <v>208</v>
      </c>
      <c r="G37" s="1">
        <v>118</v>
      </c>
      <c r="H37" s="15">
        <f>SUM(D37:G37)</f>
        <v>118</v>
      </c>
      <c r="AL37"/>
      <c r="AR37" s="1"/>
    </row>
    <row r="38" spans="1:44" x14ac:dyDescent="0.25">
      <c r="A38">
        <v>24</v>
      </c>
      <c r="B38" t="s">
        <v>17</v>
      </c>
      <c r="D38" s="1">
        <v>46</v>
      </c>
      <c r="E38" s="1"/>
      <c r="G38" s="1">
        <v>60</v>
      </c>
      <c r="H38" s="15">
        <f>SUM(D38:G38)</f>
        <v>106</v>
      </c>
      <c r="AL38"/>
      <c r="AR38" s="1"/>
    </row>
    <row r="39" spans="1:44" x14ac:dyDescent="0.25">
      <c r="A39">
        <v>25</v>
      </c>
      <c r="B39" t="s">
        <v>92</v>
      </c>
      <c r="D39" s="1"/>
      <c r="E39" s="1">
        <v>38</v>
      </c>
      <c r="G39" s="1">
        <v>64</v>
      </c>
      <c r="H39" s="15">
        <f>SUM(D39:G39)</f>
        <v>102</v>
      </c>
      <c r="AL39"/>
    </row>
    <row r="40" spans="1:44" x14ac:dyDescent="0.25">
      <c r="A40">
        <v>25</v>
      </c>
      <c r="B40" t="s">
        <v>93</v>
      </c>
      <c r="D40" s="1"/>
      <c r="E40" s="1">
        <v>38</v>
      </c>
      <c r="G40" s="1">
        <v>64</v>
      </c>
      <c r="H40" s="15">
        <f>SUM(D40:G40)</f>
        <v>102</v>
      </c>
      <c r="X40" s="4"/>
      <c r="Y40" s="4"/>
      <c r="Z40" s="4"/>
      <c r="AA40" s="4"/>
      <c r="AB40" s="4"/>
      <c r="AC40" s="4"/>
      <c r="AD40" s="4"/>
      <c r="AE40" s="4"/>
      <c r="AL40"/>
    </row>
    <row r="41" spans="1:44" x14ac:dyDescent="0.25">
      <c r="A41">
        <v>26</v>
      </c>
      <c r="B41" t="s">
        <v>184</v>
      </c>
      <c r="G41" s="1">
        <v>100</v>
      </c>
      <c r="H41" s="15">
        <f>SUM(D41:G41)</f>
        <v>100</v>
      </c>
      <c r="X41" s="4"/>
      <c r="Y41" s="4"/>
      <c r="Z41" s="4"/>
      <c r="AA41" s="4"/>
      <c r="AB41" s="4"/>
      <c r="AC41" s="4"/>
      <c r="AD41" s="4"/>
      <c r="AE41" s="4"/>
      <c r="AL41"/>
    </row>
    <row r="42" spans="1:44" x14ac:dyDescent="0.25">
      <c r="A42">
        <v>26</v>
      </c>
      <c r="B42" t="s">
        <v>187</v>
      </c>
      <c r="G42" s="1">
        <v>100</v>
      </c>
      <c r="H42" s="15">
        <f>SUM(D42:G42)</f>
        <v>100</v>
      </c>
      <c r="X42" s="4"/>
      <c r="Y42" s="4"/>
      <c r="Z42" s="4"/>
      <c r="AA42" s="4"/>
      <c r="AB42" s="4"/>
      <c r="AC42" s="4"/>
      <c r="AD42" s="4"/>
      <c r="AE42" s="4"/>
      <c r="AL42"/>
    </row>
    <row r="43" spans="1:44" x14ac:dyDescent="0.25">
      <c r="A43">
        <v>27</v>
      </c>
      <c r="B43" t="s">
        <v>6</v>
      </c>
      <c r="D43" s="1">
        <v>59</v>
      </c>
      <c r="E43" s="1">
        <v>42</v>
      </c>
      <c r="H43" s="15">
        <f t="shared" si="0"/>
        <v>101</v>
      </c>
      <c r="X43" s="4"/>
      <c r="Y43" s="4"/>
      <c r="Z43" s="4"/>
      <c r="AA43" s="4"/>
      <c r="AB43" s="4"/>
      <c r="AC43" s="4"/>
      <c r="AD43" s="4"/>
      <c r="AE43" s="4"/>
      <c r="AL43"/>
    </row>
    <row r="44" spans="1:44" x14ac:dyDescent="0.25">
      <c r="A44">
        <v>28</v>
      </c>
      <c r="B44" t="s">
        <v>197</v>
      </c>
      <c r="G44" s="1">
        <v>96</v>
      </c>
      <c r="H44" s="15">
        <f>SUM(D44:G44)</f>
        <v>96</v>
      </c>
      <c r="X44" s="4"/>
      <c r="Y44" s="4"/>
      <c r="Z44" s="4"/>
      <c r="AA44" s="4"/>
      <c r="AB44" s="4"/>
      <c r="AC44" s="4"/>
      <c r="AD44" s="4"/>
      <c r="AE44" s="4"/>
      <c r="AH44">
        <v>11</v>
      </c>
      <c r="AI44" t="s">
        <v>82</v>
      </c>
      <c r="AJ44">
        <v>42</v>
      </c>
    </row>
    <row r="45" spans="1:44" x14ac:dyDescent="0.25">
      <c r="A45">
        <v>29</v>
      </c>
      <c r="B45" t="s">
        <v>25</v>
      </c>
      <c r="D45" s="1">
        <v>50</v>
      </c>
      <c r="E45" s="1">
        <v>46</v>
      </c>
      <c r="H45" s="15">
        <f>SUM(D45:G45)</f>
        <v>96</v>
      </c>
      <c r="X45" s="4"/>
      <c r="Y45" s="4"/>
      <c r="Z45" s="4"/>
      <c r="AA45" s="4"/>
      <c r="AB45" s="4"/>
      <c r="AC45" s="4"/>
      <c r="AD45" s="4"/>
      <c r="AE45" s="4"/>
      <c r="AH45">
        <v>11</v>
      </c>
      <c r="AI45" t="s">
        <v>83</v>
      </c>
      <c r="AJ45">
        <v>42</v>
      </c>
    </row>
    <row r="46" spans="1:44" x14ac:dyDescent="0.25">
      <c r="A46">
        <v>30</v>
      </c>
      <c r="B46" t="s">
        <v>21</v>
      </c>
      <c r="D46" s="1">
        <v>52</v>
      </c>
      <c r="E46" s="1"/>
      <c r="F46" s="1">
        <v>44</v>
      </c>
      <c r="H46" s="15">
        <f>SUM(D46:G46)</f>
        <v>96</v>
      </c>
      <c r="X46" s="4"/>
      <c r="Y46" s="4"/>
      <c r="Z46" s="4"/>
      <c r="AA46" s="4"/>
      <c r="AB46" s="4"/>
      <c r="AC46" s="4"/>
      <c r="AD46" s="4"/>
      <c r="AE46" s="4"/>
      <c r="AH46">
        <v>12</v>
      </c>
      <c r="AI46" t="s">
        <v>84</v>
      </c>
      <c r="AJ46">
        <v>41</v>
      </c>
    </row>
    <row r="47" spans="1:44" x14ac:dyDescent="0.25">
      <c r="A47">
        <v>31</v>
      </c>
      <c r="B47" t="s">
        <v>222</v>
      </c>
      <c r="G47" s="1">
        <v>92</v>
      </c>
      <c r="H47" s="15">
        <f>SUM(D47:G47)</f>
        <v>92</v>
      </c>
      <c r="X47" s="4"/>
      <c r="Y47" s="4"/>
      <c r="Z47" s="4"/>
      <c r="AA47" s="4"/>
      <c r="AB47" s="4"/>
      <c r="AC47" s="4"/>
      <c r="AD47" s="4"/>
      <c r="AE47" s="4"/>
      <c r="AH47">
        <v>12</v>
      </c>
      <c r="AJ47">
        <v>41</v>
      </c>
    </row>
    <row r="48" spans="1:44" x14ac:dyDescent="0.25">
      <c r="A48">
        <v>31</v>
      </c>
      <c r="B48" t="s">
        <v>220</v>
      </c>
      <c r="G48" s="1">
        <v>92</v>
      </c>
      <c r="H48" s="15">
        <f>SUM(D48:G48)</f>
        <v>92</v>
      </c>
      <c r="Z48">
        <v>1</v>
      </c>
      <c r="AB48">
        <v>70</v>
      </c>
      <c r="AE48">
        <f>+AB48*2</f>
        <v>140</v>
      </c>
      <c r="AH48">
        <v>12</v>
      </c>
      <c r="AJ48">
        <v>41</v>
      </c>
    </row>
    <row r="49" spans="1:36" x14ac:dyDescent="0.25">
      <c r="A49">
        <v>31</v>
      </c>
      <c r="B49" t="s">
        <v>221</v>
      </c>
      <c r="G49" s="1">
        <v>92</v>
      </c>
      <c r="H49" s="15">
        <f>SUM(D49:G49)</f>
        <v>92</v>
      </c>
      <c r="Z49">
        <v>2</v>
      </c>
      <c r="AB49">
        <v>64</v>
      </c>
      <c r="AE49">
        <f t="shared" ref="AE49:AE60" si="2">+AB49*2</f>
        <v>128</v>
      </c>
      <c r="AH49">
        <v>13</v>
      </c>
      <c r="AI49" t="s">
        <v>85</v>
      </c>
      <c r="AJ49">
        <v>40</v>
      </c>
    </row>
    <row r="50" spans="1:36" x14ac:dyDescent="0.25">
      <c r="A50">
        <v>32</v>
      </c>
      <c r="B50" t="s">
        <v>211</v>
      </c>
      <c r="G50" s="1">
        <v>88</v>
      </c>
      <c r="H50" s="15">
        <f>SUM(D50:G50)</f>
        <v>88</v>
      </c>
      <c r="Z50">
        <v>3</v>
      </c>
      <c r="AB50">
        <v>59</v>
      </c>
      <c r="AE50">
        <f t="shared" si="2"/>
        <v>118</v>
      </c>
      <c r="AI50" t="s">
        <v>87</v>
      </c>
      <c r="AJ50">
        <v>40</v>
      </c>
    </row>
    <row r="51" spans="1:36" x14ac:dyDescent="0.25">
      <c r="A51">
        <v>32</v>
      </c>
      <c r="B51" t="s">
        <v>213</v>
      </c>
      <c r="G51" s="1">
        <v>88</v>
      </c>
      <c r="H51" s="15">
        <f>SUM(D51:G51)</f>
        <v>88</v>
      </c>
      <c r="Z51">
        <v>4</v>
      </c>
      <c r="AB51">
        <v>55</v>
      </c>
      <c r="AE51">
        <f t="shared" si="2"/>
        <v>110</v>
      </c>
      <c r="AH51">
        <v>14</v>
      </c>
      <c r="AI51" t="s">
        <v>86</v>
      </c>
      <c r="AJ51">
        <v>39</v>
      </c>
    </row>
    <row r="52" spans="1:36" x14ac:dyDescent="0.25">
      <c r="A52">
        <v>33</v>
      </c>
      <c r="B52" t="s">
        <v>14</v>
      </c>
      <c r="D52" s="1">
        <v>41</v>
      </c>
      <c r="E52" s="1"/>
      <c r="F52" s="1">
        <v>46</v>
      </c>
      <c r="H52" s="15">
        <f t="shared" si="0"/>
        <v>87</v>
      </c>
      <c r="Z52">
        <v>5</v>
      </c>
      <c r="AB52">
        <v>52</v>
      </c>
      <c r="AE52">
        <f t="shared" si="2"/>
        <v>104</v>
      </c>
      <c r="AH52">
        <v>14</v>
      </c>
      <c r="AI52" t="s">
        <v>76</v>
      </c>
      <c r="AJ52">
        <v>39</v>
      </c>
    </row>
    <row r="53" spans="1:36" x14ac:dyDescent="0.25">
      <c r="A53">
        <v>33</v>
      </c>
      <c r="B53" t="s">
        <v>13</v>
      </c>
      <c r="D53" s="1">
        <v>41</v>
      </c>
      <c r="E53" s="1"/>
      <c r="F53" s="1">
        <v>46</v>
      </c>
      <c r="H53" s="15">
        <f t="shared" si="0"/>
        <v>87</v>
      </c>
      <c r="Z53">
        <v>6</v>
      </c>
      <c r="AB53">
        <v>50</v>
      </c>
      <c r="AE53">
        <f t="shared" si="2"/>
        <v>100</v>
      </c>
    </row>
    <row r="54" spans="1:36" x14ac:dyDescent="0.25">
      <c r="A54">
        <v>34</v>
      </c>
      <c r="B54" t="s">
        <v>226</v>
      </c>
      <c r="G54" s="1">
        <v>86</v>
      </c>
      <c r="H54" s="15">
        <f>SUM(D54:G54)</f>
        <v>86</v>
      </c>
      <c r="Z54">
        <v>7</v>
      </c>
      <c r="AB54">
        <v>48</v>
      </c>
      <c r="AE54">
        <f t="shared" si="2"/>
        <v>96</v>
      </c>
    </row>
    <row r="55" spans="1:36" x14ac:dyDescent="0.25">
      <c r="A55">
        <v>35</v>
      </c>
      <c r="B55" t="s">
        <v>232</v>
      </c>
      <c r="G55" s="1">
        <v>82</v>
      </c>
      <c r="H55" s="15">
        <f>SUM(D55:G55)</f>
        <v>82</v>
      </c>
      <c r="Z55">
        <v>8</v>
      </c>
      <c r="AB55">
        <v>46</v>
      </c>
      <c r="AE55">
        <f t="shared" si="2"/>
        <v>92</v>
      </c>
    </row>
    <row r="56" spans="1:36" x14ac:dyDescent="0.25">
      <c r="A56">
        <v>36</v>
      </c>
      <c r="B56" t="s">
        <v>156</v>
      </c>
      <c r="G56" s="1">
        <v>80</v>
      </c>
      <c r="H56" s="15">
        <f>SUM(D56:G56)</f>
        <v>80</v>
      </c>
      <c r="Z56">
        <v>9</v>
      </c>
      <c r="AB56">
        <v>44</v>
      </c>
      <c r="AE56">
        <f t="shared" si="2"/>
        <v>88</v>
      </c>
    </row>
    <row r="57" spans="1:36" x14ac:dyDescent="0.25">
      <c r="A57">
        <v>36</v>
      </c>
      <c r="B57" t="s">
        <v>157</v>
      </c>
      <c r="G57" s="1">
        <v>80</v>
      </c>
      <c r="H57" s="15">
        <f>SUM(D57:G57)</f>
        <v>80</v>
      </c>
      <c r="Z57">
        <v>10</v>
      </c>
      <c r="AB57">
        <v>43</v>
      </c>
      <c r="AE57">
        <f t="shared" si="2"/>
        <v>86</v>
      </c>
    </row>
    <row r="58" spans="1:36" x14ac:dyDescent="0.25">
      <c r="A58">
        <v>36</v>
      </c>
      <c r="B58" t="s">
        <v>158</v>
      </c>
      <c r="G58" s="1">
        <v>80</v>
      </c>
      <c r="H58" s="15">
        <f>SUM(D58:G58)</f>
        <v>80</v>
      </c>
      <c r="Z58">
        <v>11</v>
      </c>
      <c r="AB58">
        <v>42</v>
      </c>
      <c r="AE58">
        <f t="shared" si="2"/>
        <v>84</v>
      </c>
    </row>
    <row r="59" spans="1:36" x14ac:dyDescent="0.25">
      <c r="A59">
        <v>36</v>
      </c>
      <c r="B59" t="s">
        <v>159</v>
      </c>
      <c r="G59" s="1">
        <v>80</v>
      </c>
      <c r="H59" s="15">
        <f>SUM(D59:G59)</f>
        <v>80</v>
      </c>
      <c r="Z59">
        <v>12</v>
      </c>
      <c r="AB59">
        <v>41</v>
      </c>
      <c r="AE59">
        <f t="shared" si="2"/>
        <v>82</v>
      </c>
    </row>
    <row r="60" spans="1:36" x14ac:dyDescent="0.25">
      <c r="A60">
        <v>37</v>
      </c>
      <c r="B60" t="s">
        <v>142</v>
      </c>
      <c r="G60" s="1">
        <v>78</v>
      </c>
      <c r="H60" s="15">
        <f>SUM(D60:G60)</f>
        <v>78</v>
      </c>
      <c r="Z60">
        <v>13</v>
      </c>
      <c r="AB60">
        <v>40</v>
      </c>
      <c r="AE60">
        <f t="shared" si="2"/>
        <v>80</v>
      </c>
    </row>
    <row r="61" spans="1:36" x14ac:dyDescent="0.25">
      <c r="A61">
        <v>37</v>
      </c>
      <c r="B61" t="s">
        <v>143</v>
      </c>
      <c r="G61" s="1">
        <v>78</v>
      </c>
      <c r="H61" s="15">
        <f>SUM(D61:G61)</f>
        <v>78</v>
      </c>
      <c r="Z61">
        <v>14</v>
      </c>
      <c r="AB61">
        <v>39</v>
      </c>
    </row>
    <row r="62" spans="1:36" x14ac:dyDescent="0.25">
      <c r="A62">
        <v>37</v>
      </c>
      <c r="B62" t="s">
        <v>144</v>
      </c>
      <c r="G62" s="1">
        <v>78</v>
      </c>
      <c r="H62" s="15">
        <f>SUM(D62:G62)</f>
        <v>78</v>
      </c>
      <c r="Z62">
        <v>15</v>
      </c>
      <c r="AB62">
        <v>38</v>
      </c>
    </row>
    <row r="63" spans="1:36" x14ac:dyDescent="0.25">
      <c r="A63">
        <v>37</v>
      </c>
      <c r="B63" t="s">
        <v>145</v>
      </c>
      <c r="G63" s="1">
        <v>78</v>
      </c>
      <c r="H63" s="15">
        <f>SUM(D63:G63)</f>
        <v>78</v>
      </c>
    </row>
    <row r="64" spans="1:36" x14ac:dyDescent="0.25">
      <c r="A64">
        <v>38</v>
      </c>
      <c r="B64" t="s">
        <v>120</v>
      </c>
      <c r="G64" s="1">
        <v>76</v>
      </c>
      <c r="H64" s="15">
        <f>SUM(D64:G64)</f>
        <v>76</v>
      </c>
    </row>
    <row r="65" spans="1:8" x14ac:dyDescent="0.25">
      <c r="A65">
        <v>38</v>
      </c>
      <c r="B65" t="s">
        <v>121</v>
      </c>
      <c r="G65" s="1">
        <v>76</v>
      </c>
      <c r="H65" s="15">
        <f>SUM(D65:G65)</f>
        <v>76</v>
      </c>
    </row>
    <row r="66" spans="1:8" x14ac:dyDescent="0.25">
      <c r="A66">
        <v>39</v>
      </c>
      <c r="B66" t="s">
        <v>123</v>
      </c>
      <c r="G66" s="1">
        <v>74</v>
      </c>
      <c r="H66" s="15">
        <f>SUM(D66:G66)</f>
        <v>74</v>
      </c>
    </row>
    <row r="67" spans="1:8" x14ac:dyDescent="0.25">
      <c r="A67">
        <v>39</v>
      </c>
      <c r="B67" t="s">
        <v>124</v>
      </c>
      <c r="G67" s="1">
        <v>74</v>
      </c>
      <c r="H67" s="15">
        <f>SUM(D67:G67)</f>
        <v>74</v>
      </c>
    </row>
    <row r="68" spans="1:8" x14ac:dyDescent="0.25">
      <c r="A68">
        <v>39</v>
      </c>
      <c r="B68" t="s">
        <v>125</v>
      </c>
      <c r="G68" s="1">
        <v>74</v>
      </c>
      <c r="H68" s="15">
        <f>SUM(D68:G68)</f>
        <v>74</v>
      </c>
    </row>
    <row r="69" spans="1:8" x14ac:dyDescent="0.25">
      <c r="A69">
        <v>39</v>
      </c>
      <c r="B69" t="s">
        <v>126</v>
      </c>
      <c r="G69" s="1">
        <v>74</v>
      </c>
      <c r="H69" s="15">
        <f>SUM(D69:G69)</f>
        <v>74</v>
      </c>
    </row>
    <row r="70" spans="1:8" x14ac:dyDescent="0.25">
      <c r="A70">
        <v>40</v>
      </c>
      <c r="B70" t="s">
        <v>161</v>
      </c>
      <c r="G70" s="1">
        <v>72</v>
      </c>
      <c r="H70" s="15">
        <f>SUM(D70:G70)</f>
        <v>72</v>
      </c>
    </row>
    <row r="71" spans="1:8" x14ac:dyDescent="0.25">
      <c r="A71">
        <v>40</v>
      </c>
      <c r="B71" t="s">
        <v>162</v>
      </c>
      <c r="G71" s="1">
        <v>72</v>
      </c>
      <c r="H71" s="15">
        <f>SUM(D71:G71)</f>
        <v>72</v>
      </c>
    </row>
    <row r="72" spans="1:8" x14ac:dyDescent="0.25">
      <c r="A72">
        <v>40</v>
      </c>
      <c r="B72" t="s">
        <v>163</v>
      </c>
      <c r="G72" s="1">
        <v>72</v>
      </c>
      <c r="H72" s="15">
        <f>SUM(D72:G72)</f>
        <v>72</v>
      </c>
    </row>
    <row r="73" spans="1:8" x14ac:dyDescent="0.25">
      <c r="A73">
        <v>40</v>
      </c>
      <c r="B73" t="s">
        <v>164</v>
      </c>
      <c r="G73" s="1">
        <v>72</v>
      </c>
      <c r="H73" s="15">
        <f>SUM(D73:G73)</f>
        <v>72</v>
      </c>
    </row>
    <row r="74" spans="1:8" x14ac:dyDescent="0.25">
      <c r="A74">
        <v>41</v>
      </c>
      <c r="B74" t="s">
        <v>219</v>
      </c>
      <c r="G74" s="1">
        <v>70</v>
      </c>
      <c r="H74" s="15">
        <f>SUM(D74:G74)</f>
        <v>70</v>
      </c>
    </row>
    <row r="75" spans="1:8" x14ac:dyDescent="0.25">
      <c r="A75">
        <v>41</v>
      </c>
      <c r="B75" t="s">
        <v>227</v>
      </c>
      <c r="G75" s="1">
        <v>70</v>
      </c>
      <c r="H75" s="15">
        <f>SUM(D75:G75)</f>
        <v>70</v>
      </c>
    </row>
    <row r="76" spans="1:8" x14ac:dyDescent="0.25">
      <c r="A76">
        <v>42</v>
      </c>
      <c r="B76" t="s">
        <v>201</v>
      </c>
      <c r="G76" s="1">
        <v>68</v>
      </c>
      <c r="H76" s="15">
        <f>SUM(D76:G76)</f>
        <v>68</v>
      </c>
    </row>
    <row r="77" spans="1:8" x14ac:dyDescent="0.25">
      <c r="A77">
        <v>42</v>
      </c>
      <c r="B77" t="s">
        <v>202</v>
      </c>
      <c r="G77" s="1">
        <v>68</v>
      </c>
      <c r="H77" s="15">
        <f>SUM(D77:G77)</f>
        <v>68</v>
      </c>
    </row>
    <row r="78" spans="1:8" x14ac:dyDescent="0.25">
      <c r="A78">
        <v>42</v>
      </c>
      <c r="B78" t="s">
        <v>203</v>
      </c>
      <c r="G78" s="1">
        <v>68</v>
      </c>
      <c r="H78" s="15">
        <f>SUM(D78:G78)</f>
        <v>68</v>
      </c>
    </row>
    <row r="79" spans="1:8" x14ac:dyDescent="0.25">
      <c r="A79">
        <v>43</v>
      </c>
      <c r="B79" t="s">
        <v>131</v>
      </c>
      <c r="G79" s="1">
        <v>66</v>
      </c>
      <c r="H79" s="15">
        <f>SUM(D79:G79)</f>
        <v>66</v>
      </c>
    </row>
    <row r="80" spans="1:8" x14ac:dyDescent="0.25">
      <c r="A80">
        <v>43</v>
      </c>
      <c r="B80" t="s">
        <v>228</v>
      </c>
      <c r="G80" s="1">
        <v>66</v>
      </c>
      <c r="H80" s="15">
        <f>SUM(D80:G80)</f>
        <v>66</v>
      </c>
    </row>
    <row r="81" spans="1:8" x14ac:dyDescent="0.25">
      <c r="A81">
        <v>43</v>
      </c>
      <c r="B81" t="s">
        <v>133</v>
      </c>
      <c r="G81" s="1">
        <v>66</v>
      </c>
      <c r="H81" s="15">
        <f>SUM(D81:G81)</f>
        <v>66</v>
      </c>
    </row>
    <row r="82" spans="1:8" x14ac:dyDescent="0.25">
      <c r="A82">
        <v>44</v>
      </c>
      <c r="B82" t="s">
        <v>233</v>
      </c>
      <c r="G82" s="1">
        <v>64</v>
      </c>
      <c r="H82" s="15">
        <f>SUM(D82:G82)</f>
        <v>64</v>
      </c>
    </row>
    <row r="83" spans="1:8" x14ac:dyDescent="0.25">
      <c r="A83">
        <v>45</v>
      </c>
      <c r="B83" t="s">
        <v>189</v>
      </c>
      <c r="G83" s="1">
        <v>62</v>
      </c>
      <c r="H83" s="15">
        <f>SUM(D83:G83)</f>
        <v>62</v>
      </c>
    </row>
    <row r="84" spans="1:8" x14ac:dyDescent="0.25">
      <c r="A84">
        <v>45</v>
      </c>
      <c r="B84" t="s">
        <v>190</v>
      </c>
      <c r="G84" s="1">
        <v>62</v>
      </c>
      <c r="H84" s="15">
        <f>SUM(D84:G84)</f>
        <v>62</v>
      </c>
    </row>
    <row r="85" spans="1:8" x14ac:dyDescent="0.25">
      <c r="A85">
        <v>45</v>
      </c>
      <c r="B85" t="s">
        <v>191</v>
      </c>
      <c r="G85" s="1">
        <v>62</v>
      </c>
      <c r="H85" s="15">
        <f>SUM(D85:G85)</f>
        <v>62</v>
      </c>
    </row>
    <row r="86" spans="1:8" x14ac:dyDescent="0.25">
      <c r="A86">
        <v>45</v>
      </c>
      <c r="B86" t="s">
        <v>192</v>
      </c>
      <c r="G86" s="1">
        <v>62</v>
      </c>
      <c r="H86" s="15">
        <f>SUM(D86:G86)</f>
        <v>62</v>
      </c>
    </row>
    <row r="87" spans="1:8" x14ac:dyDescent="0.25">
      <c r="A87">
        <v>46</v>
      </c>
      <c r="B87" t="s">
        <v>169</v>
      </c>
      <c r="G87" s="1">
        <v>56</v>
      </c>
      <c r="H87" s="15">
        <f>SUM(D87:G87)</f>
        <v>56</v>
      </c>
    </row>
    <row r="88" spans="1:8" x14ac:dyDescent="0.25">
      <c r="A88">
        <v>46</v>
      </c>
      <c r="B88" t="s">
        <v>170</v>
      </c>
      <c r="G88" s="1">
        <v>56</v>
      </c>
      <c r="H88" s="15">
        <f>SUM(D88:G88)</f>
        <v>56</v>
      </c>
    </row>
    <row r="89" spans="1:8" x14ac:dyDescent="0.25">
      <c r="A89">
        <v>46</v>
      </c>
      <c r="B89" t="s">
        <v>171</v>
      </c>
      <c r="G89" s="1">
        <v>56</v>
      </c>
      <c r="H89" s="15">
        <f>SUM(D89:G89)</f>
        <v>56</v>
      </c>
    </row>
    <row r="90" spans="1:8" x14ac:dyDescent="0.25">
      <c r="A90">
        <v>47</v>
      </c>
      <c r="B90" t="s">
        <v>105</v>
      </c>
      <c r="F90" s="1">
        <v>55</v>
      </c>
      <c r="H90" s="15">
        <f t="shared" si="0"/>
        <v>55</v>
      </c>
    </row>
    <row r="91" spans="1:8" x14ac:dyDescent="0.25">
      <c r="A91">
        <v>48</v>
      </c>
      <c r="B91" t="s">
        <v>117</v>
      </c>
      <c r="G91" s="1">
        <v>52</v>
      </c>
      <c r="H91" s="15">
        <f t="shared" ref="H91:H103" si="3">SUM(D91:G91)</f>
        <v>52</v>
      </c>
    </row>
    <row r="92" spans="1:8" x14ac:dyDescent="0.25">
      <c r="A92">
        <v>48</v>
      </c>
      <c r="B92" t="s">
        <v>118</v>
      </c>
      <c r="G92" s="1">
        <v>52</v>
      </c>
      <c r="H92" s="15">
        <f t="shared" si="3"/>
        <v>52</v>
      </c>
    </row>
    <row r="93" spans="1:8" x14ac:dyDescent="0.25">
      <c r="A93">
        <v>49</v>
      </c>
      <c r="B93" t="s">
        <v>147</v>
      </c>
      <c r="G93" s="1">
        <v>50</v>
      </c>
      <c r="H93" s="15">
        <f t="shared" si="3"/>
        <v>50</v>
      </c>
    </row>
    <row r="94" spans="1:8" x14ac:dyDescent="0.25">
      <c r="A94">
        <v>49</v>
      </c>
      <c r="B94" t="s">
        <v>148</v>
      </c>
      <c r="G94" s="1">
        <v>50</v>
      </c>
      <c r="H94" s="15">
        <f t="shared" si="3"/>
        <v>50</v>
      </c>
    </row>
    <row r="95" spans="1:8" x14ac:dyDescent="0.25">
      <c r="A95">
        <v>49</v>
      </c>
      <c r="B95" t="s">
        <v>149</v>
      </c>
      <c r="G95" s="1">
        <v>50</v>
      </c>
      <c r="H95" s="15">
        <f t="shared" si="3"/>
        <v>50</v>
      </c>
    </row>
    <row r="96" spans="1:8" x14ac:dyDescent="0.25">
      <c r="A96">
        <v>50</v>
      </c>
      <c r="B96" t="s">
        <v>173</v>
      </c>
      <c r="G96" s="1">
        <v>48</v>
      </c>
      <c r="H96" s="15">
        <f t="shared" si="3"/>
        <v>48</v>
      </c>
    </row>
    <row r="97" spans="1:8" x14ac:dyDescent="0.25">
      <c r="A97">
        <v>50</v>
      </c>
      <c r="B97" t="s">
        <v>174</v>
      </c>
      <c r="G97" s="1">
        <v>48</v>
      </c>
      <c r="H97" s="15">
        <f t="shared" si="3"/>
        <v>48</v>
      </c>
    </row>
    <row r="98" spans="1:8" x14ac:dyDescent="0.25">
      <c r="A98">
        <v>50</v>
      </c>
      <c r="B98" t="s">
        <v>175</v>
      </c>
      <c r="G98" s="1">
        <v>48</v>
      </c>
      <c r="H98" s="15">
        <f t="shared" si="3"/>
        <v>48</v>
      </c>
    </row>
    <row r="99" spans="1:8" x14ac:dyDescent="0.25">
      <c r="A99">
        <v>50</v>
      </c>
      <c r="B99" t="s">
        <v>176</v>
      </c>
      <c r="G99" s="1">
        <v>48</v>
      </c>
      <c r="H99" s="15">
        <f t="shared" si="3"/>
        <v>48</v>
      </c>
    </row>
    <row r="100" spans="1:8" x14ac:dyDescent="0.25">
      <c r="A100">
        <v>51</v>
      </c>
      <c r="B100" t="s">
        <v>151</v>
      </c>
      <c r="G100" s="1">
        <v>46</v>
      </c>
      <c r="H100" s="15">
        <f t="shared" si="3"/>
        <v>46</v>
      </c>
    </row>
    <row r="101" spans="1:8" x14ac:dyDescent="0.25">
      <c r="A101">
        <v>51</v>
      </c>
      <c r="B101" t="s">
        <v>152</v>
      </c>
      <c r="G101" s="1">
        <v>46</v>
      </c>
      <c r="H101" s="15">
        <f t="shared" si="3"/>
        <v>46</v>
      </c>
    </row>
    <row r="102" spans="1:8" x14ac:dyDescent="0.25">
      <c r="A102">
        <v>51</v>
      </c>
      <c r="B102" t="s">
        <v>153</v>
      </c>
      <c r="G102" s="1">
        <v>46</v>
      </c>
      <c r="H102" s="15">
        <f t="shared" si="3"/>
        <v>46</v>
      </c>
    </row>
    <row r="103" spans="1:8" x14ac:dyDescent="0.25">
      <c r="A103">
        <v>51</v>
      </c>
      <c r="B103" t="s">
        <v>154</v>
      </c>
      <c r="G103" s="1">
        <v>46</v>
      </c>
      <c r="H103" s="15">
        <f t="shared" si="3"/>
        <v>46</v>
      </c>
    </row>
    <row r="104" spans="1:8" x14ac:dyDescent="0.25">
      <c r="A104">
        <v>52</v>
      </c>
      <c r="B104" t="s">
        <v>109</v>
      </c>
      <c r="F104" s="1">
        <v>42</v>
      </c>
      <c r="H104" s="15">
        <f t="shared" si="0"/>
        <v>42</v>
      </c>
    </row>
    <row r="105" spans="1:8" x14ac:dyDescent="0.25">
      <c r="A105">
        <v>52</v>
      </c>
      <c r="B105" t="s">
        <v>108</v>
      </c>
      <c r="F105" s="1">
        <v>42</v>
      </c>
      <c r="H105" s="15">
        <f t="shared" si="0"/>
        <v>42</v>
      </c>
    </row>
    <row r="106" spans="1:8" x14ac:dyDescent="0.25">
      <c r="A106">
        <v>53</v>
      </c>
      <c r="B106" t="s">
        <v>110</v>
      </c>
      <c r="D106" s="1"/>
      <c r="E106" s="1">
        <v>41</v>
      </c>
      <c r="H106" s="15">
        <f t="shared" si="0"/>
        <v>41</v>
      </c>
    </row>
    <row r="107" spans="1:8" x14ac:dyDescent="0.25">
      <c r="A107">
        <v>53</v>
      </c>
      <c r="B107" t="s">
        <v>96</v>
      </c>
      <c r="D107" s="1"/>
      <c r="E107" s="1">
        <v>41</v>
      </c>
      <c r="H107" s="15">
        <f t="shared" si="0"/>
        <v>41</v>
      </c>
    </row>
    <row r="108" spans="1:8" x14ac:dyDescent="0.25">
      <c r="A108">
        <v>53</v>
      </c>
      <c r="B108" t="s">
        <v>97</v>
      </c>
      <c r="D108" s="1"/>
      <c r="E108" s="1">
        <v>41</v>
      </c>
      <c r="H108" s="15">
        <f t="shared" si="0"/>
        <v>41</v>
      </c>
    </row>
    <row r="109" spans="1:8" x14ac:dyDescent="0.25">
      <c r="A109">
        <v>54</v>
      </c>
      <c r="B109" t="s">
        <v>107</v>
      </c>
      <c r="F109" s="1">
        <v>41</v>
      </c>
      <c r="H109" s="15">
        <f t="shared" si="0"/>
        <v>41</v>
      </c>
    </row>
    <row r="110" spans="1:8" x14ac:dyDescent="0.25">
      <c r="A110">
        <v>54</v>
      </c>
      <c r="B110" t="s">
        <v>106</v>
      </c>
      <c r="F110" s="1">
        <v>41</v>
      </c>
      <c r="H110" s="15">
        <f t="shared" si="0"/>
        <v>41</v>
      </c>
    </row>
    <row r="111" spans="1:8" x14ac:dyDescent="0.25">
      <c r="A111">
        <v>55</v>
      </c>
      <c r="B111" t="s">
        <v>101</v>
      </c>
      <c r="D111" s="1"/>
      <c r="E111" s="1">
        <v>40</v>
      </c>
      <c r="H111" s="15">
        <f t="shared" si="0"/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1"/>
  <sheetViews>
    <sheetView workbookViewId="0">
      <selection activeCell="B2" sqref="B2:I31"/>
    </sheetView>
  </sheetViews>
  <sheetFormatPr baseColWidth="10" defaultRowHeight="15" x14ac:dyDescent="0.25"/>
  <cols>
    <col min="3" max="3" width="27.140625" bestFit="1" customWidth="1"/>
    <col min="4" max="4" width="22.85546875" bestFit="1" customWidth="1"/>
    <col min="5" max="5" width="22.42578125" bestFit="1" customWidth="1"/>
  </cols>
  <sheetData>
    <row r="2" spans="2:9" ht="19.5" thickBot="1" x14ac:dyDescent="0.3">
      <c r="B2" s="6">
        <v>1</v>
      </c>
      <c r="C2" s="10" t="s">
        <v>32</v>
      </c>
      <c r="D2" s="11" t="s">
        <v>127</v>
      </c>
      <c r="E2" s="11" t="s">
        <v>128</v>
      </c>
      <c r="F2" s="11" t="s">
        <v>129</v>
      </c>
      <c r="G2" s="13"/>
      <c r="H2" s="4">
        <v>70</v>
      </c>
      <c r="I2" s="4">
        <f>+H2*2</f>
        <v>140</v>
      </c>
    </row>
    <row r="3" spans="2:9" ht="18.75" x14ac:dyDescent="0.25">
      <c r="B3" s="6">
        <v>2</v>
      </c>
      <c r="C3" s="7" t="s">
        <v>112</v>
      </c>
      <c r="D3" s="8" t="s">
        <v>113</v>
      </c>
      <c r="E3" s="8" t="s">
        <v>114</v>
      </c>
      <c r="F3" s="8" t="s">
        <v>115</v>
      </c>
      <c r="G3" s="9"/>
      <c r="H3" s="4">
        <v>64</v>
      </c>
      <c r="I3" s="4">
        <f>+H3*2</f>
        <v>128</v>
      </c>
    </row>
    <row r="4" spans="2:9" ht="18.75" x14ac:dyDescent="0.25">
      <c r="B4" s="6">
        <v>3</v>
      </c>
      <c r="C4" s="10" t="s">
        <v>204</v>
      </c>
      <c r="D4" s="11" t="s">
        <v>205</v>
      </c>
      <c r="E4" s="11" t="s">
        <v>206</v>
      </c>
      <c r="F4" s="11" t="s">
        <v>207</v>
      </c>
      <c r="G4" s="14" t="s">
        <v>208</v>
      </c>
      <c r="H4" s="4">
        <v>59</v>
      </c>
      <c r="I4" s="4">
        <f>+H4*2</f>
        <v>118</v>
      </c>
    </row>
    <row r="5" spans="2:9" ht="18.75" x14ac:dyDescent="0.25">
      <c r="B5" s="6">
        <v>4</v>
      </c>
      <c r="C5" s="10" t="s">
        <v>39</v>
      </c>
      <c r="D5" s="11" t="s">
        <v>165</v>
      </c>
      <c r="E5" s="11" t="s">
        <v>166</v>
      </c>
      <c r="F5" s="11" t="s">
        <v>167</v>
      </c>
      <c r="G5" s="13"/>
      <c r="H5" s="4">
        <v>55</v>
      </c>
      <c r="I5" s="4">
        <f>+H5*2</f>
        <v>110</v>
      </c>
    </row>
    <row r="6" spans="2:9" ht="18.75" x14ac:dyDescent="0.25">
      <c r="B6" s="6">
        <v>5</v>
      </c>
      <c r="C6" s="10" t="s">
        <v>138</v>
      </c>
      <c r="D6" s="11" t="s">
        <v>139</v>
      </c>
      <c r="E6" s="11" t="s">
        <v>132</v>
      </c>
      <c r="F6" s="11" t="s">
        <v>140</v>
      </c>
      <c r="G6" s="13"/>
      <c r="H6" s="4">
        <v>52</v>
      </c>
      <c r="I6" s="4">
        <f>+H6*2</f>
        <v>104</v>
      </c>
    </row>
    <row r="7" spans="2:9" ht="18.75" x14ac:dyDescent="0.25">
      <c r="B7" s="6">
        <v>6</v>
      </c>
      <c r="C7" s="10" t="s">
        <v>28</v>
      </c>
      <c r="D7" s="11" t="s">
        <v>184</v>
      </c>
      <c r="E7" s="11" t="s">
        <v>185</v>
      </c>
      <c r="F7" s="11" t="s">
        <v>186</v>
      </c>
      <c r="G7" s="14" t="s">
        <v>187</v>
      </c>
      <c r="H7" s="4">
        <v>50</v>
      </c>
      <c r="I7" s="4">
        <f>+H7*2</f>
        <v>100</v>
      </c>
    </row>
    <row r="8" spans="2:9" ht="18.75" x14ac:dyDescent="0.25">
      <c r="B8" s="6">
        <v>7</v>
      </c>
      <c r="C8" s="10" t="s">
        <v>37</v>
      </c>
      <c r="D8" s="11" t="s">
        <v>197</v>
      </c>
      <c r="E8" s="11" t="s">
        <v>198</v>
      </c>
      <c r="F8" s="11" t="s">
        <v>199</v>
      </c>
      <c r="G8" s="14"/>
      <c r="H8" s="4">
        <v>48</v>
      </c>
      <c r="I8" s="4">
        <f>+H8*2</f>
        <v>96</v>
      </c>
    </row>
    <row r="9" spans="2:9" ht="18.75" x14ac:dyDescent="0.25">
      <c r="B9" s="6">
        <v>8</v>
      </c>
      <c r="C9" s="10" t="s">
        <v>223</v>
      </c>
      <c r="D9" s="11" t="s">
        <v>222</v>
      </c>
      <c r="E9" s="11" t="s">
        <v>220</v>
      </c>
      <c r="F9" s="11" t="s">
        <v>221</v>
      </c>
      <c r="G9" s="14" t="s">
        <v>230</v>
      </c>
      <c r="H9" s="4">
        <v>46</v>
      </c>
      <c r="I9" s="4">
        <f>+H9*2</f>
        <v>92</v>
      </c>
    </row>
    <row r="10" spans="2:9" ht="18.75" x14ac:dyDescent="0.25">
      <c r="B10" s="6">
        <v>9</v>
      </c>
      <c r="C10" s="10" t="s">
        <v>209</v>
      </c>
      <c r="D10" s="11" t="s">
        <v>210</v>
      </c>
      <c r="E10" s="11" t="s">
        <v>211</v>
      </c>
      <c r="F10" s="11" t="s">
        <v>212</v>
      </c>
      <c r="G10" s="14" t="s">
        <v>213</v>
      </c>
      <c r="H10" s="4">
        <v>44</v>
      </c>
      <c r="I10" s="4">
        <f>+H10*2</f>
        <v>88</v>
      </c>
    </row>
    <row r="11" spans="2:9" ht="18.75" x14ac:dyDescent="0.25">
      <c r="B11" s="6">
        <v>10</v>
      </c>
      <c r="C11" s="10" t="s">
        <v>33</v>
      </c>
      <c r="D11" s="11" t="s">
        <v>224</v>
      </c>
      <c r="E11" s="11" t="s">
        <v>225</v>
      </c>
      <c r="F11" s="11" t="s">
        <v>226</v>
      </c>
      <c r="G11" s="14"/>
      <c r="H11" s="4">
        <v>43</v>
      </c>
      <c r="I11" s="4">
        <f>+H11*2</f>
        <v>86</v>
      </c>
    </row>
    <row r="12" spans="2:9" ht="18.75" x14ac:dyDescent="0.25">
      <c r="B12" s="6">
        <v>11</v>
      </c>
      <c r="C12" s="10" t="s">
        <v>193</v>
      </c>
      <c r="D12" s="11"/>
      <c r="E12" s="11" t="s">
        <v>194</v>
      </c>
      <c r="F12" s="11" t="s">
        <v>195</v>
      </c>
      <c r="G12" s="14" t="s">
        <v>196</v>
      </c>
      <c r="H12" s="4">
        <v>42</v>
      </c>
      <c r="I12" s="4">
        <f>+H12*2</f>
        <v>84</v>
      </c>
    </row>
    <row r="13" spans="2:9" ht="18.75" x14ac:dyDescent="0.25">
      <c r="B13" s="6">
        <v>12</v>
      </c>
      <c r="C13" s="10" t="s">
        <v>36</v>
      </c>
      <c r="D13" s="11" t="s">
        <v>177</v>
      </c>
      <c r="E13" s="11" t="s">
        <v>178</v>
      </c>
      <c r="F13" s="11" t="s">
        <v>179</v>
      </c>
      <c r="G13" s="13"/>
      <c r="H13" s="4">
        <v>41</v>
      </c>
      <c r="I13" s="4">
        <f>+H13*2</f>
        <v>82</v>
      </c>
    </row>
    <row r="14" spans="2:9" ht="18.75" x14ac:dyDescent="0.25">
      <c r="B14" s="6">
        <v>13</v>
      </c>
      <c r="C14" s="10" t="s">
        <v>155</v>
      </c>
      <c r="D14" s="11" t="s">
        <v>156</v>
      </c>
      <c r="E14" s="11" t="s">
        <v>157</v>
      </c>
      <c r="F14" s="11" t="s">
        <v>158</v>
      </c>
      <c r="G14" s="14" t="s">
        <v>159</v>
      </c>
      <c r="H14" s="4">
        <v>40</v>
      </c>
      <c r="I14" s="4">
        <f>+H14*2</f>
        <v>80</v>
      </c>
    </row>
    <row r="15" spans="2:9" ht="18.75" x14ac:dyDescent="0.25">
      <c r="B15" s="6">
        <v>14</v>
      </c>
      <c r="C15" s="10" t="s">
        <v>141</v>
      </c>
      <c r="D15" s="11" t="s">
        <v>142</v>
      </c>
      <c r="E15" s="11" t="s">
        <v>143</v>
      </c>
      <c r="F15" s="11" t="s">
        <v>144</v>
      </c>
      <c r="G15" s="14" t="s">
        <v>145</v>
      </c>
      <c r="H15" s="4">
        <v>39</v>
      </c>
      <c r="I15" s="4">
        <f>+H15*2</f>
        <v>78</v>
      </c>
    </row>
    <row r="16" spans="2:9" ht="18.75" x14ac:dyDescent="0.25">
      <c r="B16" s="6">
        <v>15</v>
      </c>
      <c r="C16" s="10" t="s">
        <v>119</v>
      </c>
      <c r="D16" s="11" t="s">
        <v>120</v>
      </c>
      <c r="E16" s="11" t="s">
        <v>121</v>
      </c>
      <c r="F16" s="12"/>
      <c r="G16" s="13"/>
      <c r="H16" s="4">
        <v>38</v>
      </c>
      <c r="I16" s="4">
        <f>+H16*2</f>
        <v>76</v>
      </c>
    </row>
    <row r="17" spans="2:9" ht="18.75" x14ac:dyDescent="0.25">
      <c r="B17" s="6">
        <v>16</v>
      </c>
      <c r="C17" s="10" t="s">
        <v>122</v>
      </c>
      <c r="D17" s="11" t="s">
        <v>123</v>
      </c>
      <c r="E17" s="11" t="s">
        <v>124</v>
      </c>
      <c r="F17" s="11" t="s">
        <v>125</v>
      </c>
      <c r="G17" s="14" t="s">
        <v>126</v>
      </c>
      <c r="H17" s="4">
        <v>37</v>
      </c>
      <c r="I17" s="4">
        <f>+H17*2</f>
        <v>74</v>
      </c>
    </row>
    <row r="18" spans="2:9" ht="18.75" x14ac:dyDescent="0.25">
      <c r="B18" s="6">
        <v>17</v>
      </c>
      <c r="C18" s="10" t="s">
        <v>160</v>
      </c>
      <c r="D18" s="11" t="s">
        <v>161</v>
      </c>
      <c r="E18" s="11" t="s">
        <v>162</v>
      </c>
      <c r="F18" s="11" t="s">
        <v>163</v>
      </c>
      <c r="G18" s="14" t="s">
        <v>164</v>
      </c>
      <c r="H18" s="4">
        <v>36</v>
      </c>
      <c r="I18" s="4">
        <f>+H18*2</f>
        <v>72</v>
      </c>
    </row>
    <row r="19" spans="2:9" ht="18.75" x14ac:dyDescent="0.25">
      <c r="B19" s="6">
        <v>18</v>
      </c>
      <c r="C19" s="10" t="s">
        <v>218</v>
      </c>
      <c r="D19" s="11" t="s">
        <v>219</v>
      </c>
      <c r="E19" s="12" t="s">
        <v>227</v>
      </c>
      <c r="F19" s="12"/>
      <c r="G19" s="13"/>
      <c r="H19" s="4">
        <v>35</v>
      </c>
      <c r="I19" s="4">
        <f>+H19*2</f>
        <v>70</v>
      </c>
    </row>
    <row r="20" spans="2:9" ht="18.75" x14ac:dyDescent="0.25">
      <c r="B20" s="6">
        <v>19</v>
      </c>
      <c r="C20" s="10" t="s">
        <v>200</v>
      </c>
      <c r="D20" s="11" t="s">
        <v>201</v>
      </c>
      <c r="E20" s="11" t="s">
        <v>202</v>
      </c>
      <c r="F20" s="11" t="s">
        <v>203</v>
      </c>
      <c r="G20" s="13"/>
      <c r="H20" s="4">
        <v>34</v>
      </c>
      <c r="I20" s="4">
        <f>+H20*2</f>
        <v>68</v>
      </c>
    </row>
    <row r="21" spans="2:9" ht="18.75" x14ac:dyDescent="0.25">
      <c r="B21" s="6">
        <v>20</v>
      </c>
      <c r="C21" s="10" t="s">
        <v>130</v>
      </c>
      <c r="D21" s="11" t="s">
        <v>131</v>
      </c>
      <c r="E21" s="11" t="s">
        <v>228</v>
      </c>
      <c r="F21" s="11" t="s">
        <v>133</v>
      </c>
      <c r="G21" s="13"/>
      <c r="H21" s="4">
        <v>33</v>
      </c>
      <c r="I21" s="4">
        <f>+H21*2</f>
        <v>66</v>
      </c>
    </row>
    <row r="22" spans="2:9" ht="18.75" x14ac:dyDescent="0.25">
      <c r="B22" s="6">
        <v>21</v>
      </c>
      <c r="C22" s="10" t="s">
        <v>180</v>
      </c>
      <c r="D22" s="11" t="s">
        <v>181</v>
      </c>
      <c r="E22" s="11" t="s">
        <v>182</v>
      </c>
      <c r="F22" s="11" t="s">
        <v>183</v>
      </c>
      <c r="G22" s="13"/>
      <c r="H22" s="4">
        <v>32</v>
      </c>
      <c r="I22" s="4">
        <f>+H22*2</f>
        <v>64</v>
      </c>
    </row>
    <row r="23" spans="2:9" ht="18.75" x14ac:dyDescent="0.25">
      <c r="B23" s="6">
        <v>22</v>
      </c>
      <c r="C23" s="10" t="s">
        <v>188</v>
      </c>
      <c r="D23" s="11" t="s">
        <v>189</v>
      </c>
      <c r="E23" s="11" t="s">
        <v>190</v>
      </c>
      <c r="F23" s="11" t="s">
        <v>191</v>
      </c>
      <c r="G23" s="14" t="s">
        <v>192</v>
      </c>
      <c r="H23" s="4">
        <v>31</v>
      </c>
      <c r="I23" s="4">
        <f>+H23*2</f>
        <v>62</v>
      </c>
    </row>
    <row r="24" spans="2:9" ht="18.75" x14ac:dyDescent="0.25">
      <c r="B24" s="6">
        <v>23</v>
      </c>
      <c r="C24" s="10" t="s">
        <v>214</v>
      </c>
      <c r="D24" s="11" t="s">
        <v>215</v>
      </c>
      <c r="E24" s="11" t="s">
        <v>216</v>
      </c>
      <c r="F24" s="11" t="s">
        <v>217</v>
      </c>
      <c r="G24" s="13"/>
      <c r="H24" s="4">
        <v>30</v>
      </c>
      <c r="I24" s="4">
        <f>+H24*2</f>
        <v>60</v>
      </c>
    </row>
    <row r="25" spans="2:9" ht="18.75" x14ac:dyDescent="0.25">
      <c r="B25" s="6">
        <v>24</v>
      </c>
      <c r="C25" s="10" t="s">
        <v>229</v>
      </c>
      <c r="D25" s="11"/>
      <c r="E25" s="11"/>
      <c r="F25" s="11"/>
      <c r="G25" s="13"/>
      <c r="H25" s="4">
        <v>29</v>
      </c>
      <c r="I25" s="4">
        <f>+H25*2</f>
        <v>58</v>
      </c>
    </row>
    <row r="26" spans="2:9" ht="18.75" x14ac:dyDescent="0.25">
      <c r="B26" s="6">
        <v>25</v>
      </c>
      <c r="C26" s="10" t="s">
        <v>168</v>
      </c>
      <c r="D26" s="11" t="s">
        <v>169</v>
      </c>
      <c r="E26" s="11" t="s">
        <v>170</v>
      </c>
      <c r="F26" s="11" t="s">
        <v>171</v>
      </c>
      <c r="G26" s="13"/>
      <c r="H26" s="4">
        <v>28</v>
      </c>
      <c r="I26" s="4">
        <f>+H26*2</f>
        <v>56</v>
      </c>
    </row>
    <row r="27" spans="2:9" ht="18.75" x14ac:dyDescent="0.25">
      <c r="B27" s="6">
        <v>26</v>
      </c>
      <c r="C27" s="10" t="s">
        <v>134</v>
      </c>
      <c r="D27" s="11" t="s">
        <v>135</v>
      </c>
      <c r="E27" s="11" t="s">
        <v>136</v>
      </c>
      <c r="F27" s="11" t="s">
        <v>137</v>
      </c>
      <c r="G27" s="13"/>
      <c r="H27" s="4">
        <v>27</v>
      </c>
      <c r="I27" s="4">
        <f>+H27*2</f>
        <v>54</v>
      </c>
    </row>
    <row r="28" spans="2:9" ht="18.75" x14ac:dyDescent="0.25">
      <c r="B28" s="6">
        <v>27</v>
      </c>
      <c r="C28" s="10" t="s">
        <v>116</v>
      </c>
      <c r="D28" s="11" t="s">
        <v>117</v>
      </c>
      <c r="E28" s="11" t="s">
        <v>118</v>
      </c>
      <c r="F28" s="12"/>
      <c r="G28" s="13"/>
      <c r="H28" s="4">
        <v>26</v>
      </c>
      <c r="I28" s="4">
        <f>+H28*2</f>
        <v>52</v>
      </c>
    </row>
    <row r="29" spans="2:9" ht="18.75" x14ac:dyDescent="0.25">
      <c r="B29" s="6">
        <v>28</v>
      </c>
      <c r="C29" s="10" t="s">
        <v>146</v>
      </c>
      <c r="D29" s="11" t="s">
        <v>147</v>
      </c>
      <c r="E29" s="11" t="s">
        <v>148</v>
      </c>
      <c r="F29" s="11" t="s">
        <v>149</v>
      </c>
      <c r="G29" s="13"/>
      <c r="H29" s="4">
        <v>25</v>
      </c>
      <c r="I29" s="4">
        <f>+H29*2</f>
        <v>50</v>
      </c>
    </row>
    <row r="30" spans="2:9" ht="18.75" x14ac:dyDescent="0.25">
      <c r="B30" s="6">
        <v>29</v>
      </c>
      <c r="C30" s="10" t="s">
        <v>172</v>
      </c>
      <c r="D30" s="11" t="s">
        <v>173</v>
      </c>
      <c r="E30" s="11" t="s">
        <v>174</v>
      </c>
      <c r="F30" s="11" t="s">
        <v>175</v>
      </c>
      <c r="G30" s="14" t="s">
        <v>176</v>
      </c>
      <c r="H30" s="4">
        <v>24</v>
      </c>
      <c r="I30" s="4">
        <f>+H30*2</f>
        <v>48</v>
      </c>
    </row>
    <row r="31" spans="2:9" ht="18.75" x14ac:dyDescent="0.25">
      <c r="B31" s="6">
        <v>30</v>
      </c>
      <c r="C31" s="10" t="s">
        <v>150</v>
      </c>
      <c r="D31" s="11" t="s">
        <v>151</v>
      </c>
      <c r="E31" s="11" t="s">
        <v>152</v>
      </c>
      <c r="F31" s="11" t="s">
        <v>153</v>
      </c>
      <c r="G31" s="14" t="s">
        <v>154</v>
      </c>
      <c r="H31" s="4">
        <v>23</v>
      </c>
      <c r="I31" s="4">
        <f>+H31*2</f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Superdome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2018-09-03T11:34:26Z</dcterms:created>
  <dcterms:modified xsi:type="dcterms:W3CDTF">2018-11-05T15:35:11Z</dcterms:modified>
</cp:coreProperties>
</file>
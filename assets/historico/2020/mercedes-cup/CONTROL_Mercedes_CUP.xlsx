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codeName="ThisWorkbook" defaultThemeVersion="124226"/>
  <xr:revisionPtr revIDLastSave="0" documentId="13_ncr:1_{CC4D468B-4073-4309-9D83-9832EEDBE986}" xr6:coauthVersionLast="45" xr6:coauthVersionMax="45" xr10:uidLastSave="{00000000-0000-0000-0000-000000000000}"/>
  <bookViews>
    <workbookView xWindow="-120" yWindow="-120" windowWidth="19440" windowHeight="11640" tabRatio="869" activeTab="1" xr2:uid="{00000000-000D-0000-FFFF-FFFF00000000}"/>
  </bookViews>
  <sheets>
    <sheet name="Inscritos_Mangas_ELSOT" sheetId="16" r:id="rId1"/>
    <sheet name="Verificaciones_ELSOT" sheetId="8" r:id="rId2"/>
    <sheet name="Inscritos_Mangas_S4Y" sheetId="17" r:id="rId3"/>
    <sheet name="Verificaciones_S4Y" sheetId="18" r:id="rId4"/>
    <sheet name="Inscritos_Mangas_SLOTCAR" sheetId="19" r:id="rId5"/>
    <sheet name="Verificaciones_SLOTCAR" sheetId="20" r:id="rId6"/>
    <sheet name="Inscritos_Mangas_SLOTSAB" sheetId="21" r:id="rId7"/>
    <sheet name="Verificaciones_SLOTSAB" sheetId="22" r:id="rId8"/>
    <sheet name="Listado Pilotos" sheetId="6" r:id="rId9"/>
    <sheet name="Tabla_de_Datos_GENERALES" sheetId="5" state="hidden" r:id="rId10"/>
    <sheet name="Tabla_de_Datos_COCHES" sheetId="7" state="hidden" r:id="rId11"/>
    <sheet name="CUADRO GENERAL" sheetId="11" state="hidden" r:id="rId12"/>
    <sheet name="Clasificación_General" sheetId="12" r:id="rId13"/>
    <sheet name="Clasificacion_final_2019" sheetId="13" r:id="rId14"/>
    <sheet name="OLD_Cuadros resumen" sheetId="2" state="hidden" r:id="rId15"/>
    <sheet name="OLD_Cuadro Gen resumen handicap" sheetId="4" state="hidden" r:id="rId16"/>
    <sheet name="OLD_Lista Pilotos" sheetId="1" state="hidden" r:id="rId17"/>
  </sheets>
  <externalReferences>
    <externalReference r:id="rId18"/>
    <externalReference r:id="rId19"/>
  </externalReferences>
  <definedNames>
    <definedName name="_xlnm._FilterDatabase" localSheetId="0" hidden="1">Inscritos_Mangas_ELSOT!$H$20:$J$39</definedName>
    <definedName name="_xlnm._FilterDatabase" localSheetId="2" hidden="1">Inscritos_Mangas_S4Y!$H$7:$J$15</definedName>
    <definedName name="_xlnm._FilterDatabase" localSheetId="4" hidden="1">Inscritos_Mangas_SLOTCAR!$H$7:$J$15</definedName>
    <definedName name="_xlnm._FilterDatabase" localSheetId="6" hidden="1">Inscritos_Mangas_SLOTSAB!$H$7:$J$15</definedName>
    <definedName name="_xlnm.Print_Area" localSheetId="11">'CUADRO GENERAL'!$C$2:$O$23</definedName>
    <definedName name="_xlnm.Print_Area" localSheetId="15">'OLD_Cuadro Gen resumen handicap'!$C$2:$K$23</definedName>
    <definedName name="_xlnm.Print_Area" localSheetId="1">Verificaciones_ELSOT!$B$1:$T$56</definedName>
    <definedName name="_xlnm.Print_Area" localSheetId="3">Verificaciones_S4Y!$B$1:$T$40</definedName>
    <definedName name="_xlnm.Print_Area" localSheetId="5">Verificaciones_SLOTCAR!$B$1:$T$40</definedName>
    <definedName name="_xlnm.Print_Area" localSheetId="7">Verificaciones_SLOTSAB!$B$1:$T$40</definedName>
    <definedName name="CROCLAS">'[1]6-CRO'!$B$4:$E$61</definedName>
    <definedName name="DATOS5">'[2]55555'!$B$1:$AA$65536</definedName>
    <definedName name="DRSCLAS">'[1]1-DRS'!$B$4:$E$81</definedName>
    <definedName name="INSCRIP">'[2]W-Inscripcions'!$C$1:$M$65536</definedName>
    <definedName name="POSCURSA">[2]TicTacSlot!$O$1:$AX$61</definedName>
    <definedName name="POSMANEGA">[2]TicTacSlot!$N$62:$S$142</definedName>
    <definedName name="S4UCLAS">'[1]2-S4U'!$B$4:$E$83</definedName>
    <definedName name="SLCCLAS">'[1]5-SLC'!$B$4:$E$61</definedName>
    <definedName name="SLMCLAS">'[1]4-SLM'!$B$4:$E$65</definedName>
    <definedName name="SOTCLAS">'[1]3-SOT'!$B$4:$E$83</definedName>
    <definedName name="T_CARS">[2]Tablas!$A$1:$F$65536</definedName>
    <definedName name="T_MARCAS">[2]Tablas!$H$1:$I$65536</definedName>
    <definedName name="TICTACSLOT">[2]TicTacSlot!$A$1:$J$65536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" i="21" l="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J38" i="21"/>
  <c r="D38" i="21"/>
  <c r="J37" i="21"/>
  <c r="D37" i="21"/>
  <c r="J36" i="21"/>
  <c r="D36" i="21"/>
  <c r="J35" i="21"/>
  <c r="D35" i="21"/>
  <c r="J34" i="21"/>
  <c r="D34" i="21"/>
  <c r="J33" i="21"/>
  <c r="D33" i="21"/>
  <c r="J32" i="21"/>
  <c r="D32" i="21"/>
  <c r="J31" i="21"/>
  <c r="D31" i="21"/>
  <c r="D30" i="21"/>
  <c r="D29" i="21"/>
  <c r="O28" i="21"/>
  <c r="J28" i="21"/>
  <c r="D28" i="21"/>
  <c r="O27" i="21"/>
  <c r="J27" i="21"/>
  <c r="D27" i="21"/>
  <c r="O26" i="21"/>
  <c r="J26" i="21"/>
  <c r="D26" i="21"/>
  <c r="O25" i="21"/>
  <c r="J25" i="21"/>
  <c r="D25" i="21"/>
  <c r="O24" i="21"/>
  <c r="J24" i="21"/>
  <c r="D24" i="21"/>
  <c r="O23" i="21"/>
  <c r="J23" i="21"/>
  <c r="D23" i="21"/>
  <c r="O22" i="21"/>
  <c r="J22" i="21"/>
  <c r="D22" i="21"/>
  <c r="O21" i="21"/>
  <c r="J21" i="21"/>
  <c r="D21" i="21"/>
  <c r="D20" i="21"/>
  <c r="D19" i="21"/>
  <c r="D18" i="21"/>
  <c r="D17" i="21"/>
  <c r="D16" i="21"/>
  <c r="O15" i="21"/>
  <c r="J15" i="21"/>
  <c r="D15" i="21"/>
  <c r="O14" i="21"/>
  <c r="J14" i="21"/>
  <c r="D14" i="21"/>
  <c r="O13" i="21"/>
  <c r="J13" i="21"/>
  <c r="D13" i="21"/>
  <c r="O12" i="21"/>
  <c r="J12" i="21"/>
  <c r="D12" i="21"/>
  <c r="O11" i="21"/>
  <c r="J11" i="21"/>
  <c r="D11" i="21"/>
  <c r="O10" i="21"/>
  <c r="J10" i="21"/>
  <c r="D10" i="21"/>
  <c r="O9" i="21"/>
  <c r="J9" i="21"/>
  <c r="D9" i="2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O8" i="21"/>
  <c r="J8" i="21"/>
  <c r="D8" i="21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J38" i="19"/>
  <c r="D38" i="19"/>
  <c r="J37" i="19"/>
  <c r="D37" i="19"/>
  <c r="J36" i="19"/>
  <c r="D36" i="19"/>
  <c r="J35" i="19"/>
  <c r="D35" i="19"/>
  <c r="J34" i="19"/>
  <c r="D34" i="19"/>
  <c r="J33" i="19"/>
  <c r="D33" i="19"/>
  <c r="J32" i="19"/>
  <c r="D32" i="19"/>
  <c r="J31" i="19"/>
  <c r="D31" i="19"/>
  <c r="D30" i="19"/>
  <c r="D29" i="19"/>
  <c r="O28" i="19"/>
  <c r="J28" i="19"/>
  <c r="D28" i="19"/>
  <c r="O27" i="19"/>
  <c r="J27" i="19"/>
  <c r="D27" i="19"/>
  <c r="O26" i="19"/>
  <c r="J26" i="19"/>
  <c r="D26" i="19"/>
  <c r="O25" i="19"/>
  <c r="J25" i="19"/>
  <c r="D25" i="19"/>
  <c r="O24" i="19"/>
  <c r="J24" i="19"/>
  <c r="D24" i="19"/>
  <c r="O23" i="19"/>
  <c r="J23" i="19"/>
  <c r="D23" i="19"/>
  <c r="O22" i="19"/>
  <c r="J22" i="19"/>
  <c r="D22" i="19"/>
  <c r="O21" i="19"/>
  <c r="J21" i="19"/>
  <c r="D21" i="19"/>
  <c r="D20" i="19"/>
  <c r="D19" i="19"/>
  <c r="D18" i="19"/>
  <c r="D17" i="19"/>
  <c r="D16" i="19"/>
  <c r="O15" i="19"/>
  <c r="J15" i="19"/>
  <c r="D15" i="19"/>
  <c r="O14" i="19"/>
  <c r="J14" i="19"/>
  <c r="D14" i="19"/>
  <c r="O13" i="19"/>
  <c r="J13" i="19"/>
  <c r="D13" i="19"/>
  <c r="O12" i="19"/>
  <c r="J12" i="19"/>
  <c r="D12" i="19"/>
  <c r="O11" i="19"/>
  <c r="J11" i="19"/>
  <c r="D11" i="19"/>
  <c r="O10" i="19"/>
  <c r="J10" i="19"/>
  <c r="D10" i="19"/>
  <c r="O9" i="19"/>
  <c r="J9" i="19"/>
  <c r="D9" i="19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O8" i="19"/>
  <c r="J8" i="19"/>
  <c r="D8" i="19"/>
  <c r="J32" i="17"/>
  <c r="J33" i="17"/>
  <c r="J34" i="17"/>
  <c r="J35" i="17"/>
  <c r="J36" i="17"/>
  <c r="J37" i="17"/>
  <c r="J38" i="17"/>
  <c r="O22" i="17"/>
  <c r="O23" i="17"/>
  <c r="O24" i="17"/>
  <c r="O25" i="17"/>
  <c r="O26" i="17"/>
  <c r="O27" i="17"/>
  <c r="O28" i="17"/>
  <c r="J22" i="17"/>
  <c r="J23" i="17"/>
  <c r="J24" i="17"/>
  <c r="J25" i="17"/>
  <c r="J26" i="17"/>
  <c r="J27" i="17"/>
  <c r="J28" i="17"/>
  <c r="J31" i="17"/>
  <c r="O21" i="17"/>
  <c r="J21" i="17"/>
  <c r="O9" i="17"/>
  <c r="O10" i="17"/>
  <c r="O11" i="17"/>
  <c r="O12" i="17"/>
  <c r="O13" i="17"/>
  <c r="O14" i="17"/>
  <c r="O15" i="17"/>
  <c r="O8" i="17"/>
  <c r="J9" i="17"/>
  <c r="J10" i="17"/>
  <c r="J11" i="17"/>
  <c r="J12" i="17"/>
  <c r="J13" i="17"/>
  <c r="J14" i="17"/>
  <c r="J15" i="17"/>
  <c r="J8" i="17"/>
  <c r="J32" i="16"/>
  <c r="J33" i="16"/>
  <c r="J34" i="16"/>
  <c r="J35" i="16"/>
  <c r="J36" i="16"/>
  <c r="J37" i="16"/>
  <c r="J38" i="16"/>
  <c r="J39" i="16"/>
  <c r="J31" i="16"/>
  <c r="O22" i="16"/>
  <c r="O23" i="16"/>
  <c r="O24" i="16"/>
  <c r="O25" i="16"/>
  <c r="O26" i="16"/>
  <c r="O27" i="16"/>
  <c r="O28" i="16"/>
  <c r="J22" i="16"/>
  <c r="J23" i="16"/>
  <c r="J24" i="16"/>
  <c r="J25" i="16"/>
  <c r="J26" i="16"/>
  <c r="J27" i="16"/>
  <c r="J28" i="16"/>
  <c r="J21" i="16"/>
  <c r="O9" i="16"/>
  <c r="O10" i="16"/>
  <c r="O11" i="16"/>
  <c r="O12" i="16"/>
  <c r="O13" i="16"/>
  <c r="O14" i="16"/>
  <c r="O15" i="16"/>
  <c r="O8" i="16"/>
  <c r="J9" i="16"/>
  <c r="J10" i="16"/>
  <c r="J11" i="16"/>
  <c r="J12" i="16"/>
  <c r="J13" i="16"/>
  <c r="J14" i="16"/>
  <c r="J15" i="16"/>
  <c r="J8" i="16"/>
  <c r="H3" i="12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8" i="17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C61" i="16"/>
  <c r="D61" i="16" s="1"/>
  <c r="C60" i="16"/>
  <c r="D60" i="16" s="1"/>
  <c r="C59" i="16"/>
  <c r="D59" i="16" s="1"/>
  <c r="C58" i="16"/>
  <c r="D58" i="16" s="1"/>
  <c r="C57" i="16"/>
  <c r="D57" i="16" s="1"/>
  <c r="C56" i="16"/>
  <c r="D56" i="16" s="1"/>
  <c r="C55" i="16"/>
  <c r="D55" i="16" s="1"/>
  <c r="C54" i="16"/>
  <c r="D54" i="16" s="1"/>
  <c r="C53" i="16"/>
  <c r="D53" i="16" s="1"/>
  <c r="C52" i="16"/>
  <c r="D52" i="16" s="1"/>
  <c r="C51" i="16"/>
  <c r="D51" i="16" s="1"/>
  <c r="C50" i="16"/>
  <c r="D50" i="16" s="1"/>
  <c r="C49" i="16"/>
  <c r="D49" i="16" s="1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153" i="6"/>
  <c r="D9" i="6"/>
  <c r="D152" i="6"/>
  <c r="D96" i="6"/>
  <c r="D85" i="6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O21" i="16" s="1"/>
  <c r="D34" i="16"/>
  <c r="D35" i="16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H7" i="6"/>
  <c r="J7" i="6"/>
  <c r="H8" i="6"/>
  <c r="J8" i="6"/>
  <c r="H9" i="6"/>
  <c r="J9" i="6"/>
  <c r="H10" i="6"/>
  <c r="J10" i="6"/>
  <c r="H11" i="6"/>
  <c r="J11" i="6"/>
  <c r="H12" i="6"/>
  <c r="J12" i="6"/>
  <c r="H13" i="6"/>
  <c r="J13" i="6"/>
  <c r="H14" i="6"/>
  <c r="J14" i="6"/>
  <c r="H15" i="6"/>
  <c r="J15" i="6"/>
  <c r="H16" i="6"/>
  <c r="J16" i="6"/>
  <c r="H17" i="6"/>
  <c r="J17" i="6"/>
  <c r="H18" i="6"/>
  <c r="J18" i="6"/>
  <c r="H19" i="6"/>
  <c r="J19" i="6"/>
  <c r="H20" i="6"/>
  <c r="J20" i="6"/>
  <c r="H21" i="6"/>
  <c r="J21" i="6"/>
  <c r="H22" i="6"/>
  <c r="J22" i="6"/>
  <c r="H23" i="6"/>
  <c r="J23" i="6"/>
  <c r="H24" i="6"/>
  <c r="J24" i="6"/>
  <c r="H25" i="6"/>
  <c r="J25" i="6"/>
  <c r="H26" i="6"/>
  <c r="J26" i="6"/>
  <c r="H27" i="6"/>
  <c r="J27" i="6"/>
  <c r="H28" i="6"/>
  <c r="J28" i="6"/>
  <c r="H29" i="6"/>
  <c r="J29" i="6"/>
  <c r="H30" i="6"/>
  <c r="J30" i="6"/>
  <c r="H31" i="6"/>
  <c r="J31" i="6"/>
  <c r="H32" i="6"/>
  <c r="J32" i="6"/>
  <c r="H33" i="6"/>
  <c r="J33" i="6"/>
  <c r="H34" i="6"/>
  <c r="J34" i="6"/>
  <c r="H35" i="6"/>
  <c r="J35" i="6"/>
  <c r="H36" i="6"/>
  <c r="J36" i="6"/>
  <c r="H37" i="6"/>
  <c r="J37" i="6"/>
  <c r="H38" i="6"/>
  <c r="J38" i="6"/>
  <c r="H39" i="6"/>
  <c r="J39" i="6"/>
  <c r="H40" i="6"/>
  <c r="J40" i="6"/>
  <c r="H41" i="6"/>
  <c r="J41" i="6"/>
  <c r="H42" i="6"/>
  <c r="J42" i="6"/>
  <c r="H43" i="6"/>
  <c r="J43" i="6"/>
  <c r="H44" i="6"/>
  <c r="J44" i="6"/>
  <c r="H45" i="6"/>
  <c r="J45" i="6"/>
  <c r="H46" i="6"/>
  <c r="J46" i="6"/>
  <c r="H47" i="6"/>
  <c r="J47" i="6"/>
  <c r="H48" i="6"/>
  <c r="J48" i="6"/>
  <c r="H49" i="6"/>
  <c r="J49" i="6"/>
  <c r="H50" i="6"/>
  <c r="J50" i="6"/>
  <c r="H51" i="6"/>
  <c r="J51" i="6"/>
  <c r="H52" i="6"/>
  <c r="J52" i="6"/>
  <c r="H53" i="6"/>
  <c r="J53" i="6"/>
  <c r="H54" i="6"/>
  <c r="J54" i="6"/>
  <c r="H55" i="6"/>
  <c r="J55" i="6"/>
  <c r="H56" i="6"/>
  <c r="J56" i="6"/>
  <c r="H57" i="6"/>
  <c r="J57" i="6"/>
  <c r="H58" i="6"/>
  <c r="J58" i="6"/>
  <c r="H59" i="6"/>
  <c r="J59" i="6"/>
  <c r="H60" i="6"/>
  <c r="J60" i="6"/>
  <c r="H61" i="6"/>
  <c r="J61" i="6"/>
  <c r="H62" i="6"/>
  <c r="J62" i="6"/>
  <c r="H63" i="6"/>
  <c r="J63" i="6"/>
  <c r="H64" i="6"/>
  <c r="J64" i="6"/>
  <c r="H65" i="6"/>
  <c r="J65" i="6"/>
  <c r="H66" i="6"/>
  <c r="J66" i="6"/>
  <c r="H67" i="6"/>
  <c r="J67" i="6"/>
  <c r="H68" i="6"/>
  <c r="J68" i="6"/>
  <c r="H69" i="6"/>
  <c r="J69" i="6"/>
  <c r="H70" i="6"/>
  <c r="J70" i="6"/>
  <c r="H71" i="6"/>
  <c r="J71" i="6"/>
  <c r="H72" i="6"/>
  <c r="J72" i="6"/>
  <c r="H73" i="6"/>
  <c r="J73" i="6"/>
  <c r="H74" i="6"/>
  <c r="J74" i="6"/>
  <c r="H75" i="6"/>
  <c r="J75" i="6"/>
  <c r="H76" i="6"/>
  <c r="J76" i="6"/>
  <c r="H77" i="6"/>
  <c r="J77" i="6"/>
  <c r="H78" i="6"/>
  <c r="J78" i="6"/>
  <c r="H79" i="6"/>
  <c r="J79" i="6"/>
  <c r="H80" i="6"/>
  <c r="J80" i="6"/>
  <c r="H81" i="6"/>
  <c r="J81" i="6"/>
  <c r="H82" i="6"/>
  <c r="J82" i="6"/>
  <c r="H83" i="6"/>
  <c r="J83" i="6"/>
  <c r="H84" i="6"/>
  <c r="J84" i="6"/>
  <c r="H85" i="6"/>
  <c r="J85" i="6"/>
  <c r="H86" i="6"/>
  <c r="J86" i="6"/>
  <c r="D4" i="6" l="1"/>
  <c r="D5" i="6"/>
  <c r="D6" i="6"/>
  <c r="D7" i="6"/>
  <c r="D8" i="6"/>
  <c r="D10" i="6"/>
  <c r="D11" i="6"/>
  <c r="D12" i="6"/>
  <c r="D13" i="6"/>
  <c r="J4" i="6" s="1"/>
  <c r="D14" i="6"/>
  <c r="H5" i="6" s="1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J6" i="6" s="1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J3" i="6" s="1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J5" i="6" s="1"/>
  <c r="D86" i="6"/>
  <c r="D87" i="6"/>
  <c r="D88" i="6"/>
  <c r="D89" i="6"/>
  <c r="D90" i="6"/>
  <c r="D91" i="6"/>
  <c r="D92" i="6"/>
  <c r="D93" i="6"/>
  <c r="D94" i="6"/>
  <c r="D95" i="6"/>
  <c r="D97" i="6"/>
  <c r="H6" i="6" s="1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H4" i="6" s="1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H3" i="6" s="1"/>
  <c r="D145" i="6"/>
  <c r="D146" i="6"/>
  <c r="D147" i="6"/>
  <c r="D148" i="6"/>
  <c r="D149" i="6"/>
  <c r="D150" i="6"/>
  <c r="D151" i="6"/>
  <c r="D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6" authorId="0" shapeId="0" xr:uid="{0A7A8106-9ACD-4B9F-9687-2123F752361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  <comment ref="C12" authorId="0" shapeId="0" xr:uid="{845BC41F-D7D1-49D0-9562-F34B7D3C540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0" authorId="0" shapeId="0" xr:uid="{422867CF-E35F-440F-8D91-C7EB6BDB653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</commentList>
</comments>
</file>

<file path=xl/sharedStrings.xml><?xml version="1.0" encoding="utf-8"?>
<sst xmlns="http://schemas.openxmlformats.org/spreadsheetml/2006/main" count="1800" uniqueCount="579">
  <si>
    <t>Platino</t>
  </si>
  <si>
    <t>Oro</t>
  </si>
  <si>
    <t>momo rally</t>
  </si>
  <si>
    <t>guillen romero</t>
  </si>
  <si>
    <t>uri capdevila</t>
  </si>
  <si>
    <t>gasclavat</t>
  </si>
  <si>
    <t>granollers</t>
  </si>
  <si>
    <t>slotmania momo</t>
  </si>
  <si>
    <t>molins</t>
  </si>
  <si>
    <t>el sot</t>
  </si>
  <si>
    <t>eduard cerdà</t>
  </si>
  <si>
    <t>jm sererols</t>
  </si>
  <si>
    <t>el sot team</t>
  </si>
  <si>
    <t>slot for you</t>
  </si>
  <si>
    <t>besay porta</t>
  </si>
  <si>
    <t>valeri jonama</t>
  </si>
  <si>
    <t>hot slot</t>
  </si>
  <si>
    <t>pol garcia</t>
  </si>
  <si>
    <t>edu urrutia</t>
  </si>
  <si>
    <t>dream slot</t>
  </si>
  <si>
    <t>slotmania</t>
  </si>
  <si>
    <t>stp</t>
  </si>
  <si>
    <t>xavi cortada</t>
  </si>
  <si>
    <t>marc lansac</t>
  </si>
  <si>
    <t>hot slot for you</t>
  </si>
  <si>
    <t>bsr</t>
  </si>
  <si>
    <t>crono</t>
  </si>
  <si>
    <t>slotforyougurin</t>
  </si>
  <si>
    <t>julen valbuena</t>
  </si>
  <si>
    <t>germà portet</t>
  </si>
  <si>
    <t>stp racing</t>
  </si>
  <si>
    <t>richar arredondo</t>
  </si>
  <si>
    <t>gabriel rodriguez</t>
  </si>
  <si>
    <t>dream</t>
  </si>
  <si>
    <t>el sot fu</t>
  </si>
  <si>
    <t>jordi robles</t>
  </si>
  <si>
    <t>alex robles</t>
  </si>
  <si>
    <t>slot car</t>
  </si>
  <si>
    <t>superdome</t>
  </si>
  <si>
    <t>vicens febrero</t>
  </si>
  <si>
    <t>joel mendizabal</t>
  </si>
  <si>
    <t>ignasi baldominos</t>
  </si>
  <si>
    <t>WES 2019</t>
  </si>
  <si>
    <t>Fran Hernández</t>
  </si>
  <si>
    <t>Álvaro Iranzo</t>
  </si>
  <si>
    <t>Richard Pacheco</t>
  </si>
  <si>
    <t>Julen Valbuena</t>
  </si>
  <si>
    <t>Marc Lansac</t>
  </si>
  <si>
    <t>Germà Portet</t>
  </si>
  <si>
    <t>Carles Carreño</t>
  </si>
  <si>
    <t>WES 2018</t>
  </si>
  <si>
    <t>Guillem Romero</t>
  </si>
  <si>
    <t>Edu Urrutia</t>
  </si>
  <si>
    <t>JM Sererols</t>
  </si>
  <si>
    <t>Alfons Unda</t>
  </si>
  <si>
    <t>Valeri Jonama</t>
  </si>
  <si>
    <t>Ignacio</t>
  </si>
  <si>
    <t>Marc Casanovas</t>
  </si>
  <si>
    <t>Sergi Saladrigas</t>
  </si>
  <si>
    <t>David Barbas</t>
  </si>
  <si>
    <t>WES 2017</t>
  </si>
  <si>
    <t>Jordi Robles</t>
  </si>
  <si>
    <t>Richard Arredondo</t>
  </si>
  <si>
    <t>Vicens Febrero</t>
  </si>
  <si>
    <t>Xavi Cortada</t>
  </si>
  <si>
    <t>Gabriel Rodríguez</t>
  </si>
  <si>
    <t>Resisbarna 2019</t>
  </si>
  <si>
    <t>Lluis Arias</t>
  </si>
  <si>
    <t>Oscar Capel</t>
  </si>
  <si>
    <t>Marc Miró</t>
  </si>
  <si>
    <t>Iván Sánchez</t>
  </si>
  <si>
    <t>Carlos Repiso</t>
  </si>
  <si>
    <t>Josep Cardona</t>
  </si>
  <si>
    <t>Albert Ranera</t>
  </si>
  <si>
    <t>Carlos Mañanes</t>
  </si>
  <si>
    <t>Raúl Sánchez</t>
  </si>
  <si>
    <t>Sergi Bagán</t>
  </si>
  <si>
    <t>Adam Parera</t>
  </si>
  <si>
    <t>Victoria 2018</t>
  </si>
  <si>
    <t>Top 10 2019</t>
  </si>
  <si>
    <t>Victoria</t>
  </si>
  <si>
    <t>Resisbarna 2015</t>
  </si>
  <si>
    <t>Alberto Bolsa</t>
  </si>
  <si>
    <t>Ángel Broceño</t>
  </si>
  <si>
    <t>Copa Scaleauto 2018-2019</t>
  </si>
  <si>
    <t>Copa Scaleauto 2017</t>
  </si>
  <si>
    <t>Copa Scaleauto 2015-2016</t>
  </si>
  <si>
    <t>Juanra Mesas</t>
  </si>
  <si>
    <t>Carles Carceller</t>
  </si>
  <si>
    <t>Victoria 2011</t>
  </si>
  <si>
    <t>Victoria 2010</t>
  </si>
  <si>
    <t>Juanjo Tíscar</t>
  </si>
  <si>
    <t>Amadeu Pérez</t>
  </si>
  <si>
    <t>Pol Herrero</t>
  </si>
  <si>
    <t>Victoria 2008</t>
  </si>
  <si>
    <t>Resisbarna 2007</t>
  </si>
  <si>
    <t>Victoria 2007</t>
  </si>
  <si>
    <t>Tony Fernández</t>
  </si>
  <si>
    <t>Oriol Serra</t>
  </si>
  <si>
    <t>Jordi Caballero</t>
  </si>
  <si>
    <t>Resisbarna 2009</t>
  </si>
  <si>
    <t>Resisbarna 2004</t>
  </si>
  <si>
    <t>Resisbarna 2005</t>
  </si>
  <si>
    <t>Resisbarna 2006</t>
  </si>
  <si>
    <t>Grupo B 2005</t>
  </si>
  <si>
    <t>Álvaro Basanta</t>
  </si>
  <si>
    <t>Ignasi Baldominos</t>
  </si>
  <si>
    <t>Oriol Capdevila</t>
  </si>
  <si>
    <t>JM Molins</t>
  </si>
  <si>
    <t>Besay Porta</t>
  </si>
  <si>
    <t>5 Victorias o más</t>
  </si>
  <si>
    <t>Agustí Gutiérrez</t>
  </si>
  <si>
    <t>Hándicap 1</t>
  </si>
  <si>
    <t>Hándicap 2</t>
  </si>
  <si>
    <t>Hándicap 3</t>
  </si>
  <si>
    <t>Sin Hándicap</t>
  </si>
  <si>
    <t>Top 10 Resisbarna</t>
  </si>
  <si>
    <t>Platino-Platino</t>
  </si>
  <si>
    <t>Platino-Oro</t>
  </si>
  <si>
    <t>Oro-Oro</t>
  </si>
  <si>
    <t>Oro-Bronce</t>
  </si>
  <si>
    <t>Bronce-Bronce</t>
  </si>
  <si>
    <t>Top 10 Resisbarna 2019</t>
  </si>
  <si>
    <t>Top 20 Resisbarna 2019</t>
  </si>
  <si>
    <t>Copa Scaleauto</t>
  </si>
  <si>
    <t>Hándicap 3 modelos</t>
  </si>
  <si>
    <t>Libertad de modelos</t>
  </si>
  <si>
    <t>Abierta</t>
  </si>
  <si>
    <t>Vetada</t>
  </si>
  <si>
    <t>Campeones Resisbarna</t>
  </si>
  <si>
    <t>Podios en WES 24h</t>
  </si>
  <si>
    <t>2017-2018-2019</t>
  </si>
  <si>
    <t>5 o más victorias</t>
  </si>
  <si>
    <t>2003 a 2016</t>
  </si>
  <si>
    <t>5 o más vitorias</t>
  </si>
  <si>
    <t>Resisbarna GT2</t>
  </si>
  <si>
    <t>Platino-Bronce</t>
  </si>
  <si>
    <t>Plata</t>
  </si>
  <si>
    <t>Oro-Plata</t>
  </si>
  <si>
    <t>Plata-Plata</t>
  </si>
  <si>
    <t>Plata-Bronce</t>
  </si>
  <si>
    <t>Platino-Plata</t>
  </si>
  <si>
    <t>Hándicap 4 modelos</t>
  </si>
  <si>
    <t>2003-20013</t>
  </si>
  <si>
    <t>Victorias Resisbarna</t>
  </si>
  <si>
    <t>2003-2014</t>
  </si>
  <si>
    <t>2015-2019</t>
  </si>
  <si>
    <t>Top 20 Resisbarna</t>
  </si>
  <si>
    <t>2003-2016</t>
  </si>
  <si>
    <t>Campeones Copa Scaleauto</t>
  </si>
  <si>
    <t>Campeones Resisbarna GT2</t>
  </si>
  <si>
    <t>Israel Nevado</t>
  </si>
  <si>
    <t>Víctor González</t>
  </si>
  <si>
    <t>GT2 2019</t>
  </si>
  <si>
    <t>Roger Castellví</t>
  </si>
  <si>
    <t>Francesc Capell</t>
  </si>
  <si>
    <t>Enric Prats</t>
  </si>
  <si>
    <t>Marc Manlleu</t>
  </si>
  <si>
    <t>Albert Lombarte</t>
  </si>
  <si>
    <t>Gerard Malivern</t>
  </si>
  <si>
    <t>Sergi Miquel</t>
  </si>
  <si>
    <t>Marc Andreu</t>
  </si>
  <si>
    <t>2003-2019</t>
  </si>
  <si>
    <t>Albert Tomàs</t>
  </si>
  <si>
    <t>GT2 2018</t>
  </si>
  <si>
    <t>Copa Rookie 2016</t>
  </si>
  <si>
    <t>Óscar Alarcón</t>
  </si>
  <si>
    <t>Pau Gutiérrez</t>
  </si>
  <si>
    <t>Copa Rookie 2015</t>
  </si>
  <si>
    <t>Lorenzo Rodríguez</t>
  </si>
  <si>
    <t>Jordi Cantos</t>
  </si>
  <si>
    <t>Francesc García</t>
  </si>
  <si>
    <t>Secundino Río</t>
  </si>
  <si>
    <t>HANDICAP</t>
  </si>
  <si>
    <t>GT2</t>
  </si>
  <si>
    <t>GENERAL</t>
  </si>
  <si>
    <t>HANDICAPS</t>
  </si>
  <si>
    <t>1 AL 10</t>
  </si>
  <si>
    <t>11 AL 20</t>
  </si>
  <si>
    <t>21 o más</t>
  </si>
  <si>
    <t>EQUIPO</t>
  </si>
  <si>
    <t>PLATINO</t>
  </si>
  <si>
    <t>H2</t>
  </si>
  <si>
    <t>H1</t>
  </si>
  <si>
    <t>HS1</t>
  </si>
  <si>
    <t>OK</t>
  </si>
  <si>
    <t>X</t>
  </si>
  <si>
    <t>COPA SCALEAUTO</t>
  </si>
  <si>
    <t>GRUP 1</t>
  </si>
  <si>
    <t>GRUP 2</t>
  </si>
  <si>
    <t>GRUP 3</t>
  </si>
  <si>
    <t>H3</t>
  </si>
  <si>
    <t>ORO</t>
  </si>
  <si>
    <t>4 COCHES</t>
  </si>
  <si>
    <t>HS2</t>
  </si>
  <si>
    <t>3 COCHES</t>
  </si>
  <si>
    <t>PLATA</t>
  </si>
  <si>
    <t>BRONCE</t>
  </si>
  <si>
    <t>PILOTO 1</t>
  </si>
  <si>
    <t>PILOTO 2</t>
  </si>
  <si>
    <t>Germán Sans</t>
  </si>
  <si>
    <t>Jordi Canyellas</t>
  </si>
  <si>
    <t>Top 20 2019</t>
  </si>
  <si>
    <t>Eduard Gil</t>
  </si>
  <si>
    <t>David Izquierdo</t>
  </si>
  <si>
    <t>Sergi Solà</t>
  </si>
  <si>
    <t>Jordi Rierola</t>
  </si>
  <si>
    <t>Handicap</t>
  </si>
  <si>
    <t>Copa</t>
  </si>
  <si>
    <t>Alex Marin</t>
  </si>
  <si>
    <t>Alex Robles</t>
  </si>
  <si>
    <t>Igor Baldes</t>
  </si>
  <si>
    <t>Israel Gomez</t>
  </si>
  <si>
    <t>Joel Mendizabal</t>
  </si>
  <si>
    <t>Jordi Simo</t>
  </si>
  <si>
    <t>Pol Garciça</t>
  </si>
  <si>
    <t>Albert Trafach</t>
  </si>
  <si>
    <t>Eduard Cerda</t>
  </si>
  <si>
    <t>Jordi Perez</t>
  </si>
  <si>
    <t>Marc Garcia</t>
  </si>
  <si>
    <t>Ruben Sanchez</t>
  </si>
  <si>
    <t>Victor Querol</t>
  </si>
  <si>
    <t>Copas</t>
  </si>
  <si>
    <t>GT1</t>
  </si>
  <si>
    <t>SCALEAUTO</t>
  </si>
  <si>
    <t>Cat. Pilotos</t>
  </si>
  <si>
    <t>Palta</t>
  </si>
  <si>
    <t>Bronce</t>
  </si>
  <si>
    <t>Palmares</t>
  </si>
  <si>
    <t>Germa Portet</t>
  </si>
  <si>
    <t>Agusti Gutierrez</t>
  </si>
  <si>
    <t>Angel Broceño</t>
  </si>
  <si>
    <t>Roger Castellvi</t>
  </si>
  <si>
    <t>Sergi Bagan</t>
  </si>
  <si>
    <t>Sergi Sola</t>
  </si>
  <si>
    <t>Victor Gonzalez</t>
  </si>
  <si>
    <t>Tipo Cat.</t>
  </si>
  <si>
    <t>GT2 2017</t>
  </si>
  <si>
    <t>1 -4 Victorias 2019</t>
  </si>
  <si>
    <t>1 -4 Victorias 2018</t>
  </si>
  <si>
    <t>Grupo B (Anterior a 2017)</t>
  </si>
  <si>
    <t>Victorias (Anteriore al 2017)</t>
  </si>
  <si>
    <t>1 -4 Victorias 2017</t>
  </si>
  <si>
    <t>Resisbarna Anterior 2017</t>
  </si>
  <si>
    <t>Top 20 2018</t>
  </si>
  <si>
    <t>Top 20 2017</t>
  </si>
  <si>
    <t>Sin palmarés</t>
  </si>
  <si>
    <t>Cat. De Piloto</t>
  </si>
  <si>
    <t>Nombre Piloto</t>
  </si>
  <si>
    <t>Cat. De Piloto2</t>
  </si>
  <si>
    <t>Cat. De Piloto1</t>
  </si>
  <si>
    <t>Piloto 1</t>
  </si>
  <si>
    <t>Piloto 2</t>
  </si>
  <si>
    <t>UNITED SOT</t>
  </si>
  <si>
    <t>EL SOT SPORT</t>
  </si>
  <si>
    <t xml:space="preserve"> Equipo</t>
  </si>
  <si>
    <t>5 victorias o mas 2016-2003</t>
  </si>
  <si>
    <t>5 victorias o mas 2019-2017</t>
  </si>
  <si>
    <t>WES 2019 -2017</t>
  </si>
  <si>
    <t>Resisbarna 2019-2017</t>
  </si>
  <si>
    <t>Resisbarna 2016-2015</t>
  </si>
  <si>
    <t>Scaleauto 2019-2017</t>
  </si>
  <si>
    <t>Resisbarna 2013-2003</t>
  </si>
  <si>
    <t>GT2 Resisbarna 2019-2003</t>
  </si>
  <si>
    <t>Scaleauto 2016-2015</t>
  </si>
  <si>
    <t>1-4 Victorias Resisbarna 2019-2003</t>
  </si>
  <si>
    <t>Abel Vizu</t>
  </si>
  <si>
    <t>Adolfo Chico</t>
  </si>
  <si>
    <t>Albert Atienza</t>
  </si>
  <si>
    <t>Albert Castellar</t>
  </si>
  <si>
    <t>Alfons Barcelo</t>
  </si>
  <si>
    <t>Andreu Martin</t>
  </si>
  <si>
    <t>Angel Navarro</t>
  </si>
  <si>
    <t>Arnau Navarro</t>
  </si>
  <si>
    <t>Bernat Vivas</t>
  </si>
  <si>
    <t>Carlos Mestre</t>
  </si>
  <si>
    <t>Cristian Diaz</t>
  </si>
  <si>
    <t>David Celaya</t>
  </si>
  <si>
    <t>David Mercader</t>
  </si>
  <si>
    <t>David Mestres</t>
  </si>
  <si>
    <t>Edgar Mestres</t>
  </si>
  <si>
    <t>Enric Illa</t>
  </si>
  <si>
    <t>Eric Ruiz</t>
  </si>
  <si>
    <t>Fidel Soler</t>
  </si>
  <si>
    <t>Francesc Liñan</t>
  </si>
  <si>
    <t>Francesc Vivas</t>
  </si>
  <si>
    <t>Francisco Aguilera</t>
  </si>
  <si>
    <t>Gabriel Rodriguez</t>
  </si>
  <si>
    <t>Gerard Farres</t>
  </si>
  <si>
    <t>Gerard Ferrer</t>
  </si>
  <si>
    <t>Ismael Piqueras</t>
  </si>
  <si>
    <t>Ivan Gimeno</t>
  </si>
  <si>
    <t>Jaume Llobet</t>
  </si>
  <si>
    <t>Javier Muñoz</t>
  </si>
  <si>
    <t>Jesus Jodar</t>
  </si>
  <si>
    <t>Jordi Canyelles</t>
  </si>
  <si>
    <t>Jordi Muñoz</t>
  </si>
  <si>
    <t>Jordi Palmada</t>
  </si>
  <si>
    <t>Jorge Valdivieso</t>
  </si>
  <si>
    <t>Jose Maria Martinez</t>
  </si>
  <si>
    <t>Juan Ramon Mesas</t>
  </si>
  <si>
    <t>Lorenzo Lera</t>
  </si>
  <si>
    <t>Lorenzo Rodriguez</t>
  </si>
  <si>
    <t>Lorenzo Vera</t>
  </si>
  <si>
    <t>Manel Soriano</t>
  </si>
  <si>
    <t>Manuel Marquez</t>
  </si>
  <si>
    <t>Marc Climent</t>
  </si>
  <si>
    <t>Marc Nomen</t>
  </si>
  <si>
    <t>Marius Magro</t>
  </si>
  <si>
    <t>Miguel Angel Aguilera</t>
  </si>
  <si>
    <t>Miguel Angel Garcia</t>
  </si>
  <si>
    <t>Mikel Love</t>
  </si>
  <si>
    <t>Miquel Bonavida</t>
  </si>
  <si>
    <t>Oscar Sanchez</t>
  </si>
  <si>
    <t>Oscar Vila</t>
  </si>
  <si>
    <t>Pablo Fregosi</t>
  </si>
  <si>
    <t>Pol Garcia</t>
  </si>
  <si>
    <t>Rafael Muñoz</t>
  </si>
  <si>
    <t>Raimon Rovellat</t>
  </si>
  <si>
    <t>Raul Cabello</t>
  </si>
  <si>
    <t>Raul Egea</t>
  </si>
  <si>
    <t>Secun Rio</t>
  </si>
  <si>
    <t>Sergi Martinez</t>
  </si>
  <si>
    <t>Toni Castanyer</t>
  </si>
  <si>
    <t>Uri Capdevila</t>
  </si>
  <si>
    <t>Victor Leon</t>
  </si>
  <si>
    <t>Victor Lopez</t>
  </si>
  <si>
    <t>Victor Velasco</t>
  </si>
  <si>
    <t>Xavi Aranda</t>
  </si>
  <si>
    <t>Xavi Bellot</t>
  </si>
  <si>
    <t>BRAND</t>
  </si>
  <si>
    <t>MIN WEIGHT</t>
  </si>
  <si>
    <t>GROUP</t>
  </si>
  <si>
    <t>BRANDS</t>
  </si>
  <si>
    <t>SIT</t>
  </si>
  <si>
    <t>Slot.it</t>
  </si>
  <si>
    <t>GT3ITALIA</t>
  </si>
  <si>
    <t>GT3 Italia Black Arrow</t>
  </si>
  <si>
    <t>BLACK ARROW</t>
  </si>
  <si>
    <t>12_28</t>
  </si>
  <si>
    <t>SLP</t>
  </si>
  <si>
    <t>Sloting Plus</t>
  </si>
  <si>
    <t>BLACKBULL</t>
  </si>
  <si>
    <t>Black Bull Black Arrow</t>
  </si>
  <si>
    <t>SCA</t>
  </si>
  <si>
    <t>Scaleauto</t>
  </si>
  <si>
    <t>AMDBR9</t>
  </si>
  <si>
    <t>AM DBR9 Black Arrow</t>
  </si>
  <si>
    <t>MB</t>
  </si>
  <si>
    <t>MB Slot</t>
  </si>
  <si>
    <t>REP</t>
  </si>
  <si>
    <t>Reprotec</t>
  </si>
  <si>
    <t>SID</t>
  </si>
  <si>
    <t>Sideways</t>
  </si>
  <si>
    <t>ARS</t>
  </si>
  <si>
    <t>Arrow Slot</t>
  </si>
  <si>
    <t>SCX</t>
  </si>
  <si>
    <t>Scalextric</t>
  </si>
  <si>
    <t>NIN</t>
  </si>
  <si>
    <t>Ninco</t>
  </si>
  <si>
    <t>BLA</t>
  </si>
  <si>
    <t>Black Arrow</t>
  </si>
  <si>
    <t>PINK</t>
  </si>
  <si>
    <t>Pink Car</t>
  </si>
  <si>
    <t>HOB</t>
  </si>
  <si>
    <t>Hobby Slot</t>
  </si>
  <si>
    <t>MR</t>
  </si>
  <si>
    <t>MR Slotcar</t>
  </si>
  <si>
    <t>SUP</t>
  </si>
  <si>
    <t>Superslot</t>
  </si>
  <si>
    <t>JP</t>
  </si>
  <si>
    <t>JP-Slot</t>
  </si>
  <si>
    <t>3D</t>
  </si>
  <si>
    <t>3DSRP</t>
  </si>
  <si>
    <t>PKS</t>
  </si>
  <si>
    <t>PKS Slot</t>
  </si>
  <si>
    <t>PC</t>
  </si>
  <si>
    <t>Polycar</t>
  </si>
  <si>
    <t>MERCEDES</t>
  </si>
  <si>
    <t>Mercedes Benz SLS GT3 Scal.</t>
  </si>
  <si>
    <t>I3D</t>
  </si>
  <si>
    <t>HONDA</t>
  </si>
  <si>
    <t>Honda HSV-010GT Scaleauto</t>
  </si>
  <si>
    <t>MOR</t>
  </si>
  <si>
    <t>Morpheus</t>
  </si>
  <si>
    <t>BMW</t>
  </si>
  <si>
    <t>BMW Z4 GT3 Scaleauto</t>
  </si>
  <si>
    <t>ACM</t>
  </si>
  <si>
    <t>ACME</t>
  </si>
  <si>
    <t/>
  </si>
  <si>
    <t>SPYKER</t>
  </si>
  <si>
    <t>Spyker GT2 Scaleauto</t>
  </si>
  <si>
    <t>PORSCHE 991</t>
  </si>
  <si>
    <t>Porsche 991 GT3 Scaleauto</t>
  </si>
  <si>
    <t>TYRES</t>
  </si>
  <si>
    <t>VIPER</t>
  </si>
  <si>
    <t>Dodge Viper SRT GTS-R Scal.</t>
  </si>
  <si>
    <t>SPIRITS</t>
  </si>
  <si>
    <t>SC-4735 "Spirits"</t>
  </si>
  <si>
    <t>CORVETTE</t>
  </si>
  <si>
    <t>Corvette A7R Scaleauto</t>
  </si>
  <si>
    <t>F22</t>
  </si>
  <si>
    <t>Slot.it PT1207 "F22"</t>
  </si>
  <si>
    <t>SALEEN</t>
  </si>
  <si>
    <t>Saleen S7R Scaleauto</t>
  </si>
  <si>
    <t>IS25</t>
  </si>
  <si>
    <t>SC-4753 "I-S25"</t>
  </si>
  <si>
    <t>LMSGT3</t>
  </si>
  <si>
    <t>Audi R8 LMS GT3 Scaleauto</t>
  </si>
  <si>
    <t>AS25</t>
  </si>
  <si>
    <t>SC-4758 "A-S25"</t>
  </si>
  <si>
    <t>MBAGT3</t>
  </si>
  <si>
    <t>Mercedes Benz MB-A GT3 Scal.</t>
  </si>
  <si>
    <t>MOTOR MOUNTS</t>
  </si>
  <si>
    <t>SIT0</t>
  </si>
  <si>
    <t>Slot.it 0,0</t>
  </si>
  <si>
    <t>SIDEWAYS</t>
  </si>
  <si>
    <t>SIT05</t>
  </si>
  <si>
    <t>Slot.it 0,5</t>
  </si>
  <si>
    <t>SIT1</t>
  </si>
  <si>
    <t>Slot.it 1,0</t>
  </si>
  <si>
    <t>HURACAN</t>
  </si>
  <si>
    <t>Lamborghini Huracan GT3 Sidew.</t>
  </si>
  <si>
    <t>SCA1</t>
  </si>
  <si>
    <t>BLA05</t>
  </si>
  <si>
    <t>Black Arrow 0,5</t>
  </si>
  <si>
    <t>FORD GT</t>
  </si>
  <si>
    <t>Ford GT Morpheus</t>
  </si>
  <si>
    <t>MORPHEUS</t>
  </si>
  <si>
    <t>COCHE</t>
  </si>
  <si>
    <t>NOMBRE COMP. COCHE</t>
  </si>
  <si>
    <t>DATOS COCHES PARTICIPANTES</t>
  </si>
  <si>
    <t>#</t>
  </si>
  <si>
    <t>MOTOR</t>
  </si>
  <si>
    <t>PIÑÓN</t>
  </si>
  <si>
    <t>CORONA</t>
  </si>
  <si>
    <t>REL</t>
  </si>
  <si>
    <t>LLANTAS D</t>
  </si>
  <si>
    <t>LLANTAS T</t>
  </si>
  <si>
    <t>PESO C.</t>
  </si>
  <si>
    <t>TRENC.</t>
  </si>
  <si>
    <t>SUSP.</t>
  </si>
  <si>
    <t>BANCADA</t>
  </si>
  <si>
    <t>CHASIS</t>
  </si>
  <si>
    <t>NEUMATICOS</t>
  </si>
  <si>
    <t>OBS. VERIFICACIÓN</t>
  </si>
  <si>
    <t>DETALLE DEL COCHE GANADOR</t>
  </si>
  <si>
    <t>COPA</t>
  </si>
  <si>
    <t>SCALEAUTO_CUP</t>
  </si>
  <si>
    <t>RELACION</t>
  </si>
  <si>
    <t>12_27</t>
  </si>
  <si>
    <t>12_30</t>
  </si>
  <si>
    <t>NOMBRE</t>
  </si>
  <si>
    <t>REFERENCIA</t>
  </si>
  <si>
    <t>ESPECS</t>
  </si>
  <si>
    <t>LLANTAS DIAMETRO</t>
  </si>
  <si>
    <t>DIAMETRO LL.D.</t>
  </si>
  <si>
    <t>DIAMETRO LL.T.</t>
  </si>
  <si>
    <t>17,5 x 8 PL</t>
  </si>
  <si>
    <t>17,2 x 8 PL</t>
  </si>
  <si>
    <t>16,9 x 8 PL</t>
  </si>
  <si>
    <t>16,5 x 8 PL</t>
  </si>
  <si>
    <t>16,3 x 8 PL</t>
  </si>
  <si>
    <t>15,8 x 8 PL</t>
  </si>
  <si>
    <t>17,5 x 8 AL</t>
  </si>
  <si>
    <t>17,2 x 8 AL</t>
  </si>
  <si>
    <t>16,9 x 8 AL</t>
  </si>
  <si>
    <t>16,5 x 8 AL</t>
  </si>
  <si>
    <t>16,3 x 8 AL</t>
  </si>
  <si>
    <t>15,8 x 8 AL</t>
  </si>
  <si>
    <t>17,5 x 10 PL</t>
  </si>
  <si>
    <t>17,2 x 10 PL</t>
  </si>
  <si>
    <t>16,9 x 10 PL</t>
  </si>
  <si>
    <t>16,5 x 10 PL</t>
  </si>
  <si>
    <t>16,3 x 10 PL</t>
  </si>
  <si>
    <t>15,8 x 10 PL</t>
  </si>
  <si>
    <t>17,5 x 10 AL</t>
  </si>
  <si>
    <t>17,2 x 10 AL</t>
  </si>
  <si>
    <t>16,9 x 10 AL</t>
  </si>
  <si>
    <t>16,5 x 10 AL</t>
  </si>
  <si>
    <t>16,3 x 10 AL</t>
  </si>
  <si>
    <t>15,8 x 10 AL</t>
  </si>
  <si>
    <t>PESO MIN.</t>
  </si>
  <si>
    <r>
      <rPr>
        <u/>
        <sz val="9"/>
        <rFont val="Verdana"/>
        <family val="2"/>
      </rPr>
      <t>S</t>
    </r>
    <r>
      <rPr>
        <sz val="9"/>
        <rFont val="Verdana"/>
        <family val="2"/>
      </rPr>
      <t>caleauto 1,0</t>
    </r>
  </si>
  <si>
    <t>PILOTO</t>
  </si>
  <si>
    <t>PTOS.</t>
  </si>
  <si>
    <t>TOTAL</t>
  </si>
  <si>
    <t>SLOT FOR YOU</t>
  </si>
  <si>
    <t>EL SOT</t>
  </si>
  <si>
    <t>DIA</t>
  </si>
  <si>
    <t>Dia Carrera</t>
  </si>
  <si>
    <t>Jueves</t>
  </si>
  <si>
    <t>Viernes</t>
  </si>
  <si>
    <t>Sabado</t>
  </si>
  <si>
    <t>MADERA SOT</t>
  </si>
  <si>
    <t xml:space="preserve">JUEVES </t>
  </si>
  <si>
    <t>RESISBARNA</t>
  </si>
  <si>
    <t>HÁNDICAPS</t>
  </si>
  <si>
    <t>RELACIÓN  DE  HÁNDICAPS</t>
  </si>
  <si>
    <t>LIBRE ELECCIÓN</t>
  </si>
  <si>
    <t>RESISBARNA  GT2</t>
  </si>
  <si>
    <t>ABIERTA</t>
  </si>
  <si>
    <t>VETADA</t>
  </si>
  <si>
    <t>INDICADORES DEL HÁNDICAP</t>
  </si>
  <si>
    <r>
      <t xml:space="preserve">Campeones </t>
    </r>
    <r>
      <rPr>
        <b/>
        <sz val="11"/>
        <color theme="1"/>
        <rFont val="Calibri"/>
        <family val="2"/>
        <scheme val="minor"/>
      </rPr>
      <t>Copa SCALEAUTO</t>
    </r>
  </si>
  <si>
    <t>2015-2016</t>
  </si>
  <si>
    <r>
      <t xml:space="preserve">Campeones </t>
    </r>
    <r>
      <rPr>
        <b/>
        <sz val="11"/>
        <color theme="1"/>
        <rFont val="Calibri"/>
        <family val="2"/>
        <scheme val="minor"/>
      </rPr>
      <t>Resisbarna GT2</t>
    </r>
  </si>
  <si>
    <r>
      <t xml:space="preserve">GRUP </t>
    </r>
    <r>
      <rPr>
        <b/>
        <sz val="11"/>
        <color theme="1"/>
        <rFont val="Calibri"/>
        <family val="2"/>
        <scheme val="minor"/>
      </rPr>
      <t>1</t>
    </r>
  </si>
  <si>
    <r>
      <t xml:space="preserve">GRUP </t>
    </r>
    <r>
      <rPr>
        <b/>
        <sz val="11"/>
        <color theme="1"/>
        <rFont val="Calibri"/>
        <family val="2"/>
        <scheme val="minor"/>
      </rPr>
      <t>2</t>
    </r>
  </si>
  <si>
    <r>
      <t xml:space="preserve">GRUP </t>
    </r>
    <r>
      <rPr>
        <b/>
        <sz val="11"/>
        <color theme="1"/>
        <rFont val="Calibri"/>
        <family val="2"/>
        <scheme val="minor"/>
      </rPr>
      <t>3</t>
    </r>
  </si>
  <si>
    <r>
      <t xml:space="preserve">COPA </t>
    </r>
    <r>
      <rPr>
        <b/>
        <sz val="11"/>
        <color theme="1"/>
        <rFont val="Calibri"/>
        <family val="2"/>
        <scheme val="minor"/>
      </rPr>
      <t>SCALEAUTO</t>
    </r>
  </si>
  <si>
    <r>
      <rPr>
        <b/>
        <sz val="11"/>
        <color theme="1"/>
        <rFont val="Calibri"/>
        <family val="2"/>
        <scheme val="minor"/>
      </rPr>
      <t>H1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1  </t>
    </r>
  </si>
  <si>
    <r>
      <rPr>
        <b/>
        <sz val="11"/>
        <color rgb="FF00B050"/>
        <rFont val="Calibri"/>
        <family val="2"/>
        <scheme val="minor"/>
      </rPr>
      <t>H2</t>
    </r>
    <r>
      <rPr>
        <b/>
        <sz val="11"/>
        <color theme="1"/>
        <rFont val="Calibri"/>
        <family val="2"/>
        <scheme val="minor"/>
      </rPr>
      <t xml:space="preserve">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2  </t>
    </r>
  </si>
  <si>
    <r>
      <rPr>
        <b/>
        <sz val="11"/>
        <color rgb="FF0070C0"/>
        <rFont val="Calibri"/>
        <family val="2"/>
        <scheme val="minor"/>
      </rPr>
      <t>H3</t>
    </r>
    <r>
      <rPr>
        <b/>
        <sz val="11"/>
        <color theme="1"/>
        <rFont val="Calibri"/>
        <family val="2"/>
        <scheme val="minor"/>
      </rPr>
      <t xml:space="preserve">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3  </t>
    </r>
  </si>
  <si>
    <r>
      <t xml:space="preserve">SIN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ÁNDICAP</t>
    </r>
  </si>
  <si>
    <r>
      <rPr>
        <b/>
        <i/>
        <sz val="11"/>
        <color rgb="FFC00000"/>
        <rFont val="Calibri"/>
        <family val="2"/>
        <scheme val="minor"/>
      </rPr>
      <t>HS1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modelos</t>
    </r>
  </si>
  <si>
    <r>
      <rPr>
        <b/>
        <i/>
        <sz val="11"/>
        <color theme="1"/>
        <rFont val="Calibri"/>
        <family val="2"/>
        <scheme val="minor"/>
      </rPr>
      <t>HS2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 xml:space="preserve"> modelos</t>
    </r>
  </si>
  <si>
    <r>
      <rPr>
        <b/>
        <sz val="11"/>
        <color theme="1"/>
        <rFont val="Calibri"/>
        <family val="2"/>
        <scheme val="minor"/>
      </rPr>
      <t>Top 10</t>
    </r>
    <r>
      <rPr>
        <sz val="11"/>
        <color theme="1"/>
        <rFont val="Calibri"/>
        <family val="2"/>
        <scheme val="minor"/>
      </rPr>
      <t xml:space="preserve"> Resisbarna 2019</t>
    </r>
  </si>
  <si>
    <r>
      <rPr>
        <b/>
        <sz val="11"/>
        <color theme="1"/>
        <rFont val="Calibri"/>
        <family val="2"/>
        <scheme val="minor"/>
      </rPr>
      <t>Top 20</t>
    </r>
    <r>
      <rPr>
        <sz val="11"/>
        <color theme="1"/>
        <rFont val="Calibri"/>
        <family val="2"/>
        <scheme val="minor"/>
      </rPr>
      <t xml:space="preserve"> Resisbarna 2019  </t>
    </r>
  </si>
  <si>
    <r>
      <rPr>
        <b/>
        <sz val="11"/>
        <color theme="1"/>
        <rFont val="Calibri"/>
        <family val="2"/>
        <scheme val="minor"/>
      </rPr>
      <t>1-4</t>
    </r>
    <r>
      <rPr>
        <sz val="11"/>
        <color theme="1"/>
        <rFont val="Calibri"/>
        <family val="2"/>
        <scheme val="minor"/>
      </rPr>
      <t xml:space="preserve"> Victorias </t>
    </r>
    <r>
      <rPr>
        <b/>
        <sz val="11"/>
        <color theme="1"/>
        <rFont val="Calibri"/>
        <family val="2"/>
        <scheme val="minor"/>
      </rPr>
      <t>Resisbarna</t>
    </r>
  </si>
  <si>
    <r>
      <t xml:space="preserve">Campeones </t>
    </r>
    <r>
      <rPr>
        <b/>
        <sz val="11"/>
        <color theme="1"/>
        <rFont val="Arial Rounded MT Bold"/>
        <family val="2"/>
      </rPr>
      <t>Copa SCA</t>
    </r>
  </si>
  <si>
    <t>DREAM SLOT</t>
  </si>
  <si>
    <t>BESAY PORTA</t>
  </si>
  <si>
    <t>ISRAEL GOMEZ</t>
  </si>
  <si>
    <t>EDUARD CERDA</t>
  </si>
  <si>
    <t>VICENS FEBRERO</t>
  </si>
  <si>
    <t>JOEL MENDIZABAL</t>
  </si>
  <si>
    <t>JORDI ROBLES</t>
  </si>
  <si>
    <t>CARLES CARREÑO</t>
  </si>
  <si>
    <t>GUILLEM ROMERO</t>
  </si>
  <si>
    <t>ADAM PARERA</t>
  </si>
  <si>
    <t>JORDI PEREZ</t>
  </si>
  <si>
    <t>MARC LANSAC</t>
  </si>
  <si>
    <t>DAVID IZQUIERDO</t>
  </si>
  <si>
    <t>SERGI SOLA</t>
  </si>
  <si>
    <t>MARC CASANOVAS</t>
  </si>
  <si>
    <t>RICHARD ARREDONDO</t>
  </si>
  <si>
    <t>JORDI SIMO</t>
  </si>
  <si>
    <t>JULEN VALBUENA</t>
  </si>
  <si>
    <t>ALBERT TOMAS</t>
  </si>
  <si>
    <t>OSCAR CAPEL</t>
  </si>
  <si>
    <t>GABRIEL RODRIGUEZ</t>
  </si>
  <si>
    <t>ISRAEL NEVADO</t>
  </si>
  <si>
    <t>VICTOR GONZALEZ</t>
  </si>
  <si>
    <t>JORDI RIEROLA</t>
  </si>
  <si>
    <t>GERMA PORTET</t>
  </si>
  <si>
    <t>IVAN GIMENO</t>
  </si>
  <si>
    <t>MANEL SORIANO</t>
  </si>
  <si>
    <t>ANGEL NAVARRO</t>
  </si>
  <si>
    <t>POL GARCIA</t>
  </si>
  <si>
    <t>ERIC RUIZ</t>
  </si>
  <si>
    <t>JAUME LLOBET</t>
  </si>
  <si>
    <t>OSCAR VILA</t>
  </si>
  <si>
    <t>ALBERTO BOLSA</t>
  </si>
  <si>
    <t>CARLOS REPISO</t>
  </si>
  <si>
    <t>VICTOR QUEROL</t>
  </si>
  <si>
    <t>LORENZO RODRIGUEZ</t>
  </si>
  <si>
    <t>RUBEN SANCHEZ</t>
  </si>
  <si>
    <t>SLOTMANIA</t>
  </si>
  <si>
    <t>TOTAL FINAL</t>
  </si>
  <si>
    <t>JOSEP MARIA MARTINEZ</t>
  </si>
  <si>
    <t>N/P</t>
  </si>
  <si>
    <t>ORIOL CAPDEVILA</t>
  </si>
  <si>
    <t>JORDI MIRANDA</t>
  </si>
  <si>
    <t>POS.</t>
  </si>
  <si>
    <t>CLUB EL SOT</t>
  </si>
  <si>
    <t xml:space="preserve">PITLOTOS INSCRITOS </t>
  </si>
  <si>
    <t>PILOTOS</t>
  </si>
  <si>
    <t>P SALIDA</t>
  </si>
  <si>
    <t>SLOT CAR</t>
  </si>
  <si>
    <t>SLOT SAB</t>
  </si>
  <si>
    <t xml:space="preserve">VIERNES </t>
  </si>
  <si>
    <t>Jose Luis Cortijos</t>
  </si>
  <si>
    <t>Luis Aldea</t>
  </si>
  <si>
    <t>Xavier Vernet</t>
  </si>
  <si>
    <t>Albert Figuerola</t>
  </si>
  <si>
    <t>JM SEREROLS</t>
  </si>
  <si>
    <t>JM MOLINS</t>
  </si>
  <si>
    <t>Albert Tomas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</si>
</sst>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10"/>
      <name val="Verdana"/>
      <family val="2"/>
    </font>
    <font>
      <sz val="10"/>
      <name val="Arial"/>
    </font>
    <font>
      <sz val="6"/>
      <name val="Verdana"/>
      <family val="2"/>
    </font>
    <font>
      <b/>
      <sz val="6"/>
      <name val="Verdana"/>
      <family val="2"/>
    </font>
    <font>
      <b/>
      <sz val="6"/>
      <color indexed="9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sz val="9"/>
      <color indexed="12"/>
      <name val="Verdana"/>
      <family val="2"/>
    </font>
    <font>
      <u/>
      <sz val="9"/>
      <name val="Verdana"/>
      <family val="2"/>
    </font>
    <font>
      <b/>
      <sz val="12"/>
      <name val="Verdana"/>
      <family val="2"/>
    </font>
    <font>
      <b/>
      <sz val="12"/>
      <color indexed="9"/>
      <name val="Verdana"/>
      <family val="2"/>
    </font>
    <font>
      <sz val="8"/>
      <name val="Verdana"/>
      <family val="2"/>
    </font>
    <font>
      <sz val="11"/>
      <color rgb="FFC00000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 Rounded MT Bold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b/>
      <sz val="10"/>
      <color rgb="FF595959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/>
  </cellStyleXfs>
  <cellXfs count="404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1" fillId="0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6" xfId="0" applyBorder="1"/>
    <xf numFmtId="0" fontId="0" fillId="0" borderId="2" xfId="0" applyFill="1" applyBorder="1"/>
    <xf numFmtId="0" fontId="1" fillId="0" borderId="13" xfId="0" applyFont="1" applyBorder="1"/>
    <xf numFmtId="0" fontId="1" fillId="0" borderId="9" xfId="0" applyFont="1" applyBorder="1"/>
    <xf numFmtId="0" fontId="0" fillId="0" borderId="1" xfId="0" applyFill="1" applyBorder="1"/>
    <xf numFmtId="0" fontId="1" fillId="0" borderId="12" xfId="0" applyFont="1" applyBorder="1"/>
    <xf numFmtId="49" fontId="0" fillId="0" borderId="0" xfId="0" applyNumberFormat="1"/>
    <xf numFmtId="0" fontId="0" fillId="0" borderId="0" xfId="0" applyFill="1" applyBorder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 applyFont="1" applyBorder="1"/>
    <xf numFmtId="49" fontId="0" fillId="0" borderId="0" xfId="0" applyNumberFormat="1" applyBorder="1"/>
    <xf numFmtId="49" fontId="0" fillId="0" borderId="0" xfId="0" applyNumberFormat="1" applyFill="1"/>
    <xf numFmtId="49" fontId="0" fillId="5" borderId="0" xfId="0" applyNumberFormat="1" applyFill="1"/>
    <xf numFmtId="49" fontId="0" fillId="8" borderId="0" xfId="0" applyNumberFormat="1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Border="1"/>
    <xf numFmtId="0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2" fillId="0" borderId="19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3" fillId="0" borderId="0" xfId="0" applyFont="1"/>
    <xf numFmtId="0" fontId="15" fillId="0" borderId="0" xfId="1" applyFont="1"/>
    <xf numFmtId="0" fontId="15" fillId="0" borderId="0" xfId="1" applyFont="1" applyAlignment="1">
      <alignment horizontal="center"/>
    </xf>
    <xf numFmtId="2" fontId="15" fillId="0" borderId="0" xfId="1" applyNumberFormat="1" applyFont="1"/>
    <xf numFmtId="0" fontId="15" fillId="9" borderId="0" xfId="1" applyFont="1" applyFill="1" applyAlignment="1">
      <alignment horizontal="left"/>
    </xf>
    <xf numFmtId="0" fontId="15" fillId="9" borderId="0" xfId="1" applyFont="1" applyFill="1"/>
    <xf numFmtId="2" fontId="15" fillId="9" borderId="0" xfId="1" applyNumberFormat="1" applyFont="1" applyFill="1"/>
    <xf numFmtId="0" fontId="17" fillId="10" borderId="0" xfId="1" applyFont="1" applyFill="1" applyAlignment="1">
      <alignment horizontal="left"/>
    </xf>
    <xf numFmtId="0" fontId="17" fillId="10" borderId="0" xfId="1" applyFont="1" applyFill="1"/>
    <xf numFmtId="0" fontId="15" fillId="10" borderId="0" xfId="1" applyFont="1" applyFill="1"/>
    <xf numFmtId="13" fontId="15" fillId="0" borderId="0" xfId="1" applyNumberFormat="1" applyFont="1"/>
    <xf numFmtId="0" fontId="16" fillId="0" borderId="0" xfId="1" applyFont="1" applyAlignment="1">
      <alignment horizontal="center"/>
    </xf>
    <xf numFmtId="0" fontId="17" fillId="10" borderId="38" xfId="1" applyFont="1" applyFill="1" applyBorder="1" applyAlignment="1">
      <alignment horizontal="center"/>
    </xf>
    <xf numFmtId="13" fontId="17" fillId="10" borderId="38" xfId="1" applyNumberFormat="1" applyFont="1" applyFill="1" applyBorder="1" applyAlignment="1">
      <alignment horizontal="center"/>
    </xf>
    <xf numFmtId="2" fontId="17" fillId="10" borderId="38" xfId="1" applyNumberFormat="1" applyFont="1" applyFill="1" applyBorder="1" applyAlignment="1">
      <alignment horizontal="center"/>
    </xf>
    <xf numFmtId="0" fontId="15" fillId="0" borderId="38" xfId="1" applyFont="1" applyBorder="1" applyAlignment="1">
      <alignment horizontal="center"/>
    </xf>
    <xf numFmtId="16" fontId="15" fillId="0" borderId="38" xfId="1" applyNumberFormat="1" applyFont="1" applyBorder="1" applyAlignment="1">
      <alignment horizontal="center"/>
    </xf>
    <xf numFmtId="2" fontId="15" fillId="0" borderId="38" xfId="1" applyNumberFormat="1" applyFont="1" applyBorder="1" applyAlignment="1">
      <alignment horizontal="center"/>
    </xf>
    <xf numFmtId="0" fontId="15" fillId="0" borderId="0" xfId="1" applyFont="1" applyAlignment="1">
      <alignment horizontal="left"/>
    </xf>
    <xf numFmtId="0" fontId="15" fillId="9" borderId="0" xfId="1" applyFont="1" applyFill="1" applyAlignment="1">
      <alignment horizontal="center"/>
    </xf>
    <xf numFmtId="165" fontId="15" fillId="9" borderId="0" xfId="1" applyNumberFormat="1" applyFont="1" applyFill="1"/>
    <xf numFmtId="0" fontId="19" fillId="0" borderId="0" xfId="0" applyFont="1" applyAlignment="1">
      <alignment horizontal="center"/>
    </xf>
    <xf numFmtId="0" fontId="19" fillId="5" borderId="0" xfId="0" applyFont="1" applyFill="1"/>
    <xf numFmtId="0" fontId="19" fillId="0" borderId="0" xfId="0" applyFont="1"/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/>
    <xf numFmtId="49" fontId="19" fillId="0" borderId="0" xfId="0" applyNumberFormat="1" applyFont="1" applyAlignment="1">
      <alignment horizontal="center"/>
    </xf>
    <xf numFmtId="0" fontId="21" fillId="0" borderId="0" xfId="0" applyFont="1"/>
    <xf numFmtId="49" fontId="19" fillId="0" borderId="0" xfId="0" applyNumberFormat="1" applyFont="1"/>
    <xf numFmtId="0" fontId="21" fillId="0" borderId="0" xfId="0" quotePrefix="1" applyFont="1"/>
    <xf numFmtId="0" fontId="22" fillId="0" borderId="0" xfId="0" quotePrefix="1" applyFont="1"/>
    <xf numFmtId="0" fontId="22" fillId="0" borderId="0" xfId="0" applyFont="1"/>
    <xf numFmtId="2" fontId="19" fillId="0" borderId="0" xfId="0" applyNumberFormat="1" applyFont="1" applyAlignment="1">
      <alignment horizontal="center"/>
    </xf>
    <xf numFmtId="0" fontId="19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0" fontId="13" fillId="9" borderId="0" xfId="0" applyFont="1" applyFill="1" applyAlignment="1">
      <alignment horizontal="left"/>
    </xf>
    <xf numFmtId="0" fontId="13" fillId="9" borderId="0" xfId="0" applyFont="1" applyFill="1"/>
    <xf numFmtId="0" fontId="13" fillId="0" borderId="0" xfId="0" applyFont="1" applyAlignment="1">
      <alignment horizontal="center"/>
    </xf>
    <xf numFmtId="0" fontId="25" fillId="10" borderId="0" xfId="0" applyFont="1" applyFill="1" applyAlignment="1">
      <alignment horizontal="center" wrapText="1"/>
    </xf>
    <xf numFmtId="0" fontId="25" fillId="10" borderId="0" xfId="0" applyFont="1" applyFill="1" applyBorder="1" applyAlignment="1">
      <alignment horizontal="center" wrapText="1"/>
    </xf>
    <xf numFmtId="0" fontId="0" fillId="0" borderId="38" xfId="0" applyBorder="1"/>
    <xf numFmtId="0" fontId="25" fillId="10" borderId="49" xfId="0" applyFont="1" applyFill="1" applyBorder="1" applyAlignment="1">
      <alignment horizontal="center"/>
    </xf>
    <xf numFmtId="0" fontId="25" fillId="10" borderId="41" xfId="0" applyFont="1" applyFill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26" fillId="0" borderId="38" xfId="0" applyFont="1" applyBorder="1" applyAlignment="1">
      <alignment horizontal="center" wrapText="1"/>
    </xf>
    <xf numFmtId="166" fontId="26" fillId="0" borderId="38" xfId="0" applyNumberFormat="1" applyFont="1" applyBorder="1" applyAlignment="1">
      <alignment horizontal="center" wrapText="1"/>
    </xf>
    <xf numFmtId="0" fontId="25" fillId="10" borderId="0" xfId="0" applyFont="1" applyFill="1" applyAlignment="1">
      <alignment horizontal="center"/>
    </xf>
    <xf numFmtId="2" fontId="26" fillId="0" borderId="0" xfId="0" applyNumberFormat="1" applyFont="1"/>
    <xf numFmtId="0" fontId="26" fillId="0" borderId="0" xfId="0" applyFont="1"/>
    <xf numFmtId="49" fontId="0" fillId="7" borderId="0" xfId="0" applyNumberFormat="1" applyFill="1"/>
    <xf numFmtId="49" fontId="1" fillId="0" borderId="43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Font="1"/>
    <xf numFmtId="49" fontId="0" fillId="0" borderId="0" xfId="0" applyNumberFormat="1" applyFont="1"/>
    <xf numFmtId="49" fontId="1" fillId="0" borderId="19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1" fillId="0" borderId="25" xfId="0" applyNumberFormat="1" applyFont="1" applyBorder="1" applyAlignment="1">
      <alignment horizontal="center" vertical="center"/>
    </xf>
    <xf numFmtId="0" fontId="0" fillId="0" borderId="58" xfId="0" applyFont="1" applyBorder="1"/>
    <xf numFmtId="0" fontId="0" fillId="0" borderId="59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0" fillId="0" borderId="65" xfId="0" applyFont="1" applyBorder="1" applyAlignment="1">
      <alignment vertical="top"/>
    </xf>
    <xf numFmtId="0" fontId="0" fillId="0" borderId="66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3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0" fillId="0" borderId="3" xfId="0" applyNumberFormat="1" applyFont="1" applyBorder="1"/>
    <xf numFmtId="49" fontId="0" fillId="0" borderId="4" xfId="0" applyNumberFormat="1" applyFont="1" applyBorder="1"/>
    <xf numFmtId="0" fontId="1" fillId="0" borderId="0" xfId="0" applyFont="1" applyAlignment="1">
      <alignment horizontal="center" vertical="center"/>
    </xf>
    <xf numFmtId="0" fontId="25" fillId="10" borderId="0" xfId="0" applyFont="1" applyFill="1" applyAlignment="1">
      <alignment horizontal="left"/>
    </xf>
    <xf numFmtId="0" fontId="16" fillId="0" borderId="0" xfId="1" applyFont="1" applyAlignment="1">
      <alignment horizontal="left"/>
    </xf>
    <xf numFmtId="0" fontId="18" fillId="0" borderId="0" xfId="0" applyFont="1" applyAlignment="1">
      <alignment horizontal="center"/>
    </xf>
    <xf numFmtId="0" fontId="32" fillId="2" borderId="12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6" borderId="12" xfId="0" applyFont="1" applyFill="1" applyBorder="1" applyAlignment="1">
      <alignment horizontal="center" vertical="center"/>
    </xf>
    <xf numFmtId="0" fontId="32" fillId="6" borderId="57" xfId="0" applyFont="1" applyFill="1" applyBorder="1" applyAlignment="1">
      <alignment horizontal="center" vertical="center"/>
    </xf>
    <xf numFmtId="0" fontId="32" fillId="6" borderId="13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49" fontId="28" fillId="0" borderId="1" xfId="0" applyNumberFormat="1" applyFont="1" applyBorder="1" applyAlignment="1">
      <alignment horizontal="center"/>
    </xf>
    <xf numFmtId="49" fontId="28" fillId="0" borderId="0" xfId="0" applyNumberFormat="1" applyFont="1" applyBorder="1" applyAlignment="1">
      <alignment horizontal="center"/>
    </xf>
    <xf numFmtId="49" fontId="28" fillId="0" borderId="2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49" fontId="28" fillId="0" borderId="3" xfId="0" applyNumberFormat="1" applyFont="1" applyBorder="1" applyAlignment="1">
      <alignment horizontal="center"/>
    </xf>
    <xf numFmtId="49" fontId="28" fillId="0" borderId="4" xfId="0" applyNumberFormat="1" applyFont="1" applyBorder="1" applyAlignment="1">
      <alignment horizontal="center"/>
    </xf>
    <xf numFmtId="49" fontId="28" fillId="0" borderId="5" xfId="0" applyNumberFormat="1" applyFont="1" applyBorder="1" applyAlignment="1">
      <alignment horizontal="center"/>
    </xf>
    <xf numFmtId="0" fontId="32" fillId="0" borderId="9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9" fillId="14" borderId="8" xfId="0" applyFont="1" applyFill="1" applyBorder="1" applyAlignment="1">
      <alignment horizontal="center" vertical="center"/>
    </xf>
    <xf numFmtId="0" fontId="39" fillId="14" borderId="11" xfId="0" applyFont="1" applyFill="1" applyBorder="1" applyAlignment="1">
      <alignment horizontal="center" vertical="center"/>
    </xf>
    <xf numFmtId="0" fontId="39" fillId="14" borderId="47" xfId="0" applyFont="1" applyFill="1" applyBorder="1" applyAlignment="1">
      <alignment horizontal="center" vertical="center"/>
    </xf>
    <xf numFmtId="0" fontId="39" fillId="14" borderId="3" xfId="0" applyFont="1" applyFill="1" applyBorder="1" applyAlignment="1">
      <alignment horizontal="center" vertical="center"/>
    </xf>
    <xf numFmtId="0" fontId="39" fillId="14" borderId="4" xfId="0" applyFont="1" applyFill="1" applyBorder="1" applyAlignment="1">
      <alignment horizontal="center" vertical="center"/>
    </xf>
    <xf numFmtId="0" fontId="39" fillId="14" borderId="50" xfId="0" applyFont="1" applyFill="1" applyBorder="1" applyAlignment="1">
      <alignment horizontal="center" vertical="center"/>
    </xf>
    <xf numFmtId="0" fontId="39" fillId="14" borderId="67" xfId="0" applyFont="1" applyFill="1" applyBorder="1" applyAlignment="1">
      <alignment horizontal="center" vertical="center"/>
    </xf>
    <xf numFmtId="0" fontId="39" fillId="14" borderId="9" xfId="0" applyFont="1" applyFill="1" applyBorder="1" applyAlignment="1">
      <alignment horizontal="center" vertical="center"/>
    </xf>
    <xf numFmtId="0" fontId="39" fillId="14" borderId="68" xfId="0" applyFont="1" applyFill="1" applyBorder="1" applyAlignment="1">
      <alignment horizontal="center" vertical="center"/>
    </xf>
    <xf numFmtId="0" fontId="39" fillId="14" borderId="5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49" fontId="28" fillId="0" borderId="8" xfId="0" applyNumberFormat="1" applyFont="1" applyBorder="1" applyAlignment="1">
      <alignment horizontal="center"/>
    </xf>
    <xf numFmtId="49" fontId="28" fillId="0" borderId="11" xfId="0" applyNumberFormat="1" applyFont="1" applyBorder="1" applyAlignment="1">
      <alignment horizontal="center"/>
    </xf>
    <xf numFmtId="49" fontId="28" fillId="0" borderId="9" xfId="0" applyNumberFormat="1" applyFont="1" applyBorder="1" applyAlignment="1">
      <alignment horizontal="center"/>
    </xf>
    <xf numFmtId="0" fontId="39" fillId="13" borderId="8" xfId="0" applyFont="1" applyFill="1" applyBorder="1" applyAlignment="1">
      <alignment horizontal="center" vertical="center"/>
    </xf>
    <xf numFmtId="0" fontId="39" fillId="13" borderId="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top" wrapText="1"/>
    </xf>
    <xf numFmtId="0" fontId="0" fillId="0" borderId="55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 wrapText="1"/>
    </xf>
    <xf numFmtId="0" fontId="28" fillId="0" borderId="11" xfId="0" applyFont="1" applyBorder="1" applyAlignment="1">
      <alignment horizontal="center" vertical="top" wrapText="1"/>
    </xf>
    <xf numFmtId="49" fontId="0" fillId="3" borderId="30" xfId="0" applyNumberFormat="1" applyFont="1" applyFill="1" applyBorder="1" applyAlignment="1">
      <alignment horizontal="center" vertical="center"/>
    </xf>
    <xf numFmtId="49" fontId="0" fillId="3" borderId="34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12" borderId="18" xfId="0" applyFont="1" applyFill="1" applyBorder="1" applyAlignment="1">
      <alignment horizontal="center" vertical="center"/>
    </xf>
    <xf numFmtId="0" fontId="0" fillId="12" borderId="19" xfId="0" applyFont="1" applyFill="1" applyBorder="1" applyAlignment="1">
      <alignment horizontal="center" vertical="center"/>
    </xf>
    <xf numFmtId="0" fontId="0" fillId="12" borderId="64" xfId="0" applyFont="1" applyFill="1" applyBorder="1" applyAlignment="1">
      <alignment horizontal="center" vertical="center"/>
    </xf>
    <xf numFmtId="0" fontId="0" fillId="12" borderId="26" xfId="0" applyFont="1" applyFill="1" applyBorder="1" applyAlignment="1">
      <alignment horizontal="center" vertical="center"/>
    </xf>
    <xf numFmtId="0" fontId="0" fillId="12" borderId="28" xfId="0" applyFont="1" applyFill="1" applyBorder="1" applyAlignment="1">
      <alignment horizontal="center" vertical="center"/>
    </xf>
    <xf numFmtId="0" fontId="0" fillId="12" borderId="47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7" borderId="45" xfId="0" applyFont="1" applyFill="1" applyBorder="1" applyAlignment="1">
      <alignment horizontal="center" vertical="center"/>
    </xf>
    <xf numFmtId="49" fontId="0" fillId="5" borderId="49" xfId="0" applyNumberFormat="1" applyFont="1" applyFill="1" applyBorder="1" applyAlignment="1">
      <alignment horizontal="center" vertical="center"/>
    </xf>
    <xf numFmtId="49" fontId="0" fillId="5" borderId="50" xfId="0" applyNumberFormat="1" applyFont="1" applyFill="1" applyBorder="1" applyAlignment="1">
      <alignment horizontal="center" vertical="center"/>
    </xf>
    <xf numFmtId="49" fontId="30" fillId="5" borderId="41" xfId="0" applyNumberFormat="1" applyFont="1" applyFill="1" applyBorder="1" applyAlignment="1">
      <alignment horizontal="center" vertical="center"/>
    </xf>
    <xf numFmtId="49" fontId="30" fillId="5" borderId="23" xfId="0" applyNumberFormat="1" applyFont="1" applyFill="1" applyBorder="1" applyAlignment="1">
      <alignment horizontal="center" vertical="center"/>
    </xf>
    <xf numFmtId="49" fontId="0" fillId="5" borderId="31" xfId="0" applyNumberFormat="1" applyFont="1" applyFill="1" applyBorder="1" applyAlignment="1">
      <alignment horizontal="center" vertical="center"/>
    </xf>
    <xf numFmtId="49" fontId="0" fillId="5" borderId="24" xfId="0" applyNumberFormat="1" applyFont="1" applyFill="1" applyBorder="1" applyAlignment="1">
      <alignment horizontal="center" vertical="center"/>
    </xf>
    <xf numFmtId="49" fontId="0" fillId="5" borderId="29" xfId="0" applyNumberFormat="1" applyFont="1" applyFill="1" applyBorder="1" applyAlignment="1">
      <alignment horizontal="center" vertical="center"/>
    </xf>
    <xf numFmtId="49" fontId="0" fillId="5" borderId="21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0" fillId="5" borderId="20" xfId="0" applyNumberFormat="1" applyFont="1" applyFill="1" applyBorder="1" applyAlignment="1">
      <alignment horizontal="center" vertical="center"/>
    </xf>
    <xf numFmtId="49" fontId="30" fillId="0" borderId="38" xfId="0" applyNumberFormat="1" applyFont="1" applyBorder="1" applyAlignment="1">
      <alignment horizontal="center" vertical="center"/>
    </xf>
    <xf numFmtId="49" fontId="0" fillId="5" borderId="61" xfId="0" applyNumberFormat="1" applyFont="1" applyFill="1" applyBorder="1" applyAlignment="1">
      <alignment horizontal="center" vertical="center"/>
    </xf>
    <xf numFmtId="49" fontId="0" fillId="5" borderId="33" xfId="0" applyNumberFormat="1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49" fontId="0" fillId="4" borderId="31" xfId="0" applyNumberFormat="1" applyFont="1" applyFill="1" applyBorder="1" applyAlignment="1">
      <alignment horizontal="center" vertical="center"/>
    </xf>
    <xf numFmtId="49" fontId="0" fillId="4" borderId="30" xfId="0" applyNumberFormat="1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61" xfId="0" applyFont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 vertical="center"/>
    </xf>
    <xf numFmtId="49" fontId="0" fillId="0" borderId="29" xfId="0" applyNumberFormat="1" applyFont="1" applyBorder="1" applyAlignment="1">
      <alignment horizontal="center" vertical="center"/>
    </xf>
    <xf numFmtId="49" fontId="0" fillId="0" borderId="33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9" fontId="27" fillId="0" borderId="42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top"/>
    </xf>
    <xf numFmtId="0" fontId="1" fillId="0" borderId="57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11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49" fontId="0" fillId="0" borderId="47" xfId="0" applyNumberFormat="1" applyFont="1" applyBorder="1" applyAlignment="1">
      <alignment horizontal="center" vertical="center"/>
    </xf>
    <xf numFmtId="49" fontId="0" fillId="0" borderId="48" xfId="0" applyNumberFormat="1" applyFont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center"/>
    </xf>
    <xf numFmtId="49" fontId="30" fillId="0" borderId="32" xfId="0" applyNumberFormat="1" applyFont="1" applyBorder="1" applyAlignment="1">
      <alignment horizontal="center" vertical="center"/>
    </xf>
    <xf numFmtId="49" fontId="30" fillId="0" borderId="28" xfId="0" applyNumberFormat="1" applyFont="1" applyBorder="1" applyAlignment="1">
      <alignment horizontal="center" vertical="center"/>
    </xf>
    <xf numFmtId="49" fontId="30" fillId="0" borderId="31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2" fillId="3" borderId="30" xfId="0" applyNumberFormat="1" applyFont="1" applyFill="1" applyBorder="1" applyAlignment="1">
      <alignment horizontal="center" vertical="center"/>
    </xf>
    <xf numFmtId="49" fontId="2" fillId="3" borderId="34" xfId="0" applyNumberFormat="1" applyFont="1" applyFill="1" applyBorder="1" applyAlignment="1">
      <alignment horizontal="center" vertical="center"/>
    </xf>
    <xf numFmtId="49" fontId="2" fillId="4" borderId="31" xfId="0" applyNumberFormat="1" applyFont="1" applyFill="1" applyBorder="1" applyAlignment="1">
      <alignment horizontal="center" vertical="center"/>
    </xf>
    <xf numFmtId="49" fontId="2" fillId="4" borderId="30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3" fillId="2" borderId="39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/>
    </xf>
    <xf numFmtId="49" fontId="2" fillId="5" borderId="29" xfId="0" applyNumberFormat="1" applyFont="1" applyFill="1" applyBorder="1" applyAlignment="1">
      <alignment horizontal="center" vertical="center"/>
    </xf>
    <xf numFmtId="49" fontId="2" fillId="5" borderId="33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49" fontId="2" fillId="0" borderId="49" xfId="0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2" fillId="5" borderId="31" xfId="0" applyNumberFormat="1" applyFont="1" applyFill="1" applyBorder="1" applyAlignment="1">
      <alignment horizontal="center" vertical="center"/>
    </xf>
    <xf numFmtId="49" fontId="2" fillId="5" borderId="24" xfId="0" applyNumberFormat="1" applyFont="1" applyFill="1" applyBorder="1" applyAlignment="1">
      <alignment horizontal="center" vertical="center"/>
    </xf>
    <xf numFmtId="49" fontId="2" fillId="5" borderId="21" xfId="0" applyNumberFormat="1" applyFont="1" applyFill="1" applyBorder="1" applyAlignment="1">
      <alignment horizontal="center" vertical="center"/>
    </xf>
    <xf numFmtId="0" fontId="42" fillId="15" borderId="41" xfId="0" applyFont="1" applyFill="1" applyBorder="1" applyAlignment="1">
      <alignment horizontal="center" wrapText="1"/>
    </xf>
    <xf numFmtId="0" fontId="42" fillId="15" borderId="49" xfId="0" applyFont="1" applyFill="1" applyBorder="1" applyAlignment="1">
      <alignment horizontal="center" wrapText="1"/>
    </xf>
    <xf numFmtId="0" fontId="13" fillId="0" borderId="54" xfId="0" applyFont="1" applyBorder="1" applyAlignment="1">
      <alignment horizontal="center"/>
    </xf>
    <xf numFmtId="0" fontId="41" fillId="8" borderId="54" xfId="0" applyFont="1" applyFill="1" applyBorder="1" applyAlignment="1">
      <alignment horizontal="center"/>
    </xf>
    <xf numFmtId="0" fontId="43" fillId="0" borderId="54" xfId="0" applyFont="1" applyBorder="1" applyAlignment="1">
      <alignment horizontal="center"/>
    </xf>
    <xf numFmtId="0" fontId="41" fillId="0" borderId="54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41" fillId="16" borderId="53" xfId="0" applyFont="1" applyFill="1" applyBorder="1" applyAlignment="1">
      <alignment horizontal="center"/>
    </xf>
    <xf numFmtId="0" fontId="43" fillId="0" borderId="53" xfId="0" applyFont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26" fillId="0" borderId="0" xfId="0" applyFont="1" applyBorder="1" applyAlignment="1">
      <alignment horizontal="center" wrapText="1"/>
    </xf>
    <xf numFmtId="0" fontId="41" fillId="0" borderId="54" xfId="0" applyFont="1" applyFill="1" applyBorder="1" applyAlignment="1">
      <alignment horizontal="center"/>
    </xf>
    <xf numFmtId="0" fontId="41" fillId="0" borderId="53" xfId="0" applyFont="1" applyFill="1" applyBorder="1" applyAlignment="1">
      <alignment horizontal="center"/>
    </xf>
    <xf numFmtId="0" fontId="13" fillId="0" borderId="53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166" fontId="26" fillId="0" borderId="0" xfId="0" applyNumberFormat="1" applyFont="1" applyBorder="1" applyAlignment="1">
      <alignment horizontal="center" wrapText="1"/>
    </xf>
    <xf numFmtId="0" fontId="13" fillId="9" borderId="0" xfId="0" applyFont="1" applyFill="1" applyAlignment="1">
      <alignment horizontal="center"/>
    </xf>
    <xf numFmtId="0" fontId="13" fillId="0" borderId="41" xfId="0" applyFont="1" applyBorder="1" applyAlignment="1">
      <alignment horizontal="center"/>
    </xf>
    <xf numFmtId="0" fontId="25" fillId="10" borderId="0" xfId="0" applyFont="1" applyFill="1" applyBorder="1" applyAlignment="1">
      <alignment horizontal="center"/>
    </xf>
  </cellXfs>
  <cellStyles count="2">
    <cellStyle name="Normal" xfId="0" builtinId="0"/>
    <cellStyle name="Normal 2" xfId="1" xr:uid="{F85D7E08-B774-4C06-9121-8DC71B25C889}"/>
  </cellStyles>
  <dxfs count="7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family val="2"/>
      </font>
      <numFmt numFmtId="167" formatCode="#.##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numFmt numFmtId="164" formatCode="#,##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center" vertical="center" textRotation="45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3174</xdr:colOff>
      <xdr:row>2</xdr:row>
      <xdr:rowOff>185797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68950-6A9B-4DF6-8A8B-691BCF00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9525"/>
          <a:ext cx="1543049" cy="576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8283</xdr:colOff>
      <xdr:row>1</xdr:row>
      <xdr:rowOff>16565</xdr:rowOff>
    </xdr:from>
    <xdr:to>
      <xdr:col>3</xdr:col>
      <xdr:colOff>190500</xdr:colOff>
      <xdr:row>4</xdr:row>
      <xdr:rowOff>99391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6F4EBF-2AD8-4670-A3E4-DF758AFCD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87" y="124239"/>
          <a:ext cx="1134717" cy="405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0</xdr:row>
      <xdr:rowOff>9526</xdr:rowOff>
    </xdr:from>
    <xdr:to>
      <xdr:col>3</xdr:col>
      <xdr:colOff>9525</xdr:colOff>
      <xdr:row>3</xdr:row>
      <xdr:rowOff>189648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8C6D6-33D3-4648-BBDD-E1BA07C22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9526"/>
          <a:ext cx="1571625" cy="7706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8284</xdr:colOff>
      <xdr:row>0</xdr:row>
      <xdr:rowOff>41414</xdr:rowOff>
    </xdr:from>
    <xdr:to>
      <xdr:col>2</xdr:col>
      <xdr:colOff>679174</xdr:colOff>
      <xdr:row>4</xdr:row>
      <xdr:rowOff>102161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B7FA53-130D-47E9-9F16-52A02E30E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88" y="41414"/>
          <a:ext cx="1126434" cy="4914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9526</xdr:rowOff>
    </xdr:from>
    <xdr:to>
      <xdr:col>2</xdr:col>
      <xdr:colOff>342900</xdr:colOff>
      <xdr:row>2</xdr:row>
      <xdr:rowOff>183810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BD509-CCEA-4F53-BF6C-F3D0E4A8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9526"/>
          <a:ext cx="723900" cy="5743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180975</xdr:colOff>
      <xdr:row>4</xdr:row>
      <xdr:rowOff>91157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F05E4B-A5FB-464A-A18F-E7C23B02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9050"/>
          <a:ext cx="619125" cy="4912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</xdr:rowOff>
    </xdr:from>
    <xdr:to>
      <xdr:col>2</xdr:col>
      <xdr:colOff>247650</xdr:colOff>
      <xdr:row>2</xdr:row>
      <xdr:rowOff>185738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CCF1FB-F566-4CA4-982D-B2ACD83D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6" y="1"/>
          <a:ext cx="628649" cy="5857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2</xdr:col>
      <xdr:colOff>95250</xdr:colOff>
      <xdr:row>4</xdr:row>
      <xdr:rowOff>95683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3A7976-CA75-4F2A-80A3-FB7CF1F1B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1"/>
          <a:ext cx="552449" cy="514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uario\Escritorio\2019Gener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199GCLInscr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 GRAL"/>
      <sheetName val="6-CRO"/>
      <sheetName val="5-SLC"/>
      <sheetName val="4-SLM"/>
      <sheetName val="3-SOT"/>
      <sheetName val="2-S4U"/>
      <sheetName val="1-DRS"/>
      <sheetName val="7-GRA"/>
      <sheetName val="8-DOM"/>
      <sheetName val="9-GCL"/>
      <sheetName val="TAULA"/>
    </sheetNames>
    <sheetDataSet>
      <sheetData sheetId="0" refreshError="1"/>
      <sheetData sheetId="1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73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73</v>
          </cell>
        </row>
        <row r="6">
          <cell r="B6" t="str">
            <v>IGNASI BALDOMINOS</v>
          </cell>
          <cell r="C6">
            <v>2</v>
          </cell>
          <cell r="D6" t="str">
            <v>I3D PALAU</v>
          </cell>
          <cell r="E6">
            <v>67</v>
          </cell>
        </row>
        <row r="7">
          <cell r="B7" t="str">
            <v>SECUN RIO</v>
          </cell>
          <cell r="C7">
            <v>2</v>
          </cell>
          <cell r="D7" t="str">
            <v>I3D PALAU</v>
          </cell>
          <cell r="E7">
            <v>67</v>
          </cell>
        </row>
        <row r="8">
          <cell r="B8" t="str">
            <v>VALERI JONAMA</v>
          </cell>
          <cell r="C8">
            <v>3</v>
          </cell>
          <cell r="D8" t="str">
            <v>CRIC-CRAC</v>
          </cell>
          <cell r="E8">
            <v>59</v>
          </cell>
        </row>
        <row r="9">
          <cell r="B9" t="str">
            <v>ISRAEL GOMEZ</v>
          </cell>
          <cell r="C9">
            <v>3</v>
          </cell>
          <cell r="D9" t="str">
            <v>CRIC-CRAC</v>
          </cell>
          <cell r="E9">
            <v>59</v>
          </cell>
        </row>
        <row r="10">
          <cell r="B10" t="str">
            <v>OSCAR CAPEL</v>
          </cell>
          <cell r="C10">
            <v>4</v>
          </cell>
          <cell r="D10" t="str">
            <v>EL SOT-SPORT</v>
          </cell>
          <cell r="E10">
            <v>55</v>
          </cell>
        </row>
        <row r="11">
          <cell r="B11" t="str">
            <v>ALBERT TRAFACH</v>
          </cell>
          <cell r="C11">
            <v>4</v>
          </cell>
          <cell r="D11" t="str">
            <v>EL SOT-SPORT</v>
          </cell>
          <cell r="E11">
            <v>55</v>
          </cell>
        </row>
        <row r="12">
          <cell r="B12" t="str">
            <v>MARC GARCIA</v>
          </cell>
          <cell r="C12">
            <v>5</v>
          </cell>
          <cell r="D12" t="str">
            <v>DREAM SLOT-2</v>
          </cell>
          <cell r="E12">
            <v>52</v>
          </cell>
        </row>
        <row r="13">
          <cell r="B13" t="str">
            <v>JORDI RIEROLA</v>
          </cell>
          <cell r="C13">
            <v>5</v>
          </cell>
          <cell r="D13" t="str">
            <v>DREAM SLOT-2</v>
          </cell>
          <cell r="E13">
            <v>52</v>
          </cell>
        </row>
        <row r="14">
          <cell r="B14" t="str">
            <v>JULEN VALBUENA</v>
          </cell>
          <cell r="C14">
            <v>6</v>
          </cell>
          <cell r="D14" t="str">
            <v>ARREPLEGATS</v>
          </cell>
          <cell r="E14">
            <v>50</v>
          </cell>
        </row>
        <row r="15">
          <cell r="B15" t="str">
            <v>GERMA PORTET</v>
          </cell>
          <cell r="C15">
            <v>6</v>
          </cell>
          <cell r="D15" t="str">
            <v>ARREPLEGATS</v>
          </cell>
          <cell r="E15">
            <v>50</v>
          </cell>
        </row>
        <row r="16">
          <cell r="B16" t="str">
            <v>VICENS FEBRERO</v>
          </cell>
          <cell r="C16">
            <v>7</v>
          </cell>
          <cell r="D16" t="str">
            <v>SLOT FOR YOU</v>
          </cell>
          <cell r="E16">
            <v>48</v>
          </cell>
        </row>
        <row r="17">
          <cell r="B17" t="str">
            <v>JOEL MENDIZABAL</v>
          </cell>
          <cell r="C17">
            <v>7</v>
          </cell>
          <cell r="D17" t="str">
            <v>SLOT FOR YOU</v>
          </cell>
          <cell r="E17">
            <v>48</v>
          </cell>
        </row>
        <row r="18">
          <cell r="B18" t="str">
            <v>JORDI ROBLES</v>
          </cell>
          <cell r="C18">
            <v>8</v>
          </cell>
          <cell r="D18" t="str">
            <v>EL SOT-FU</v>
          </cell>
          <cell r="E18">
            <v>46</v>
          </cell>
        </row>
        <row r="19">
          <cell r="B19" t="str">
            <v>ALEX ROBLES</v>
          </cell>
          <cell r="C19">
            <v>8</v>
          </cell>
          <cell r="D19" t="str">
            <v>EL SOT-FU</v>
          </cell>
          <cell r="E19">
            <v>46</v>
          </cell>
        </row>
        <row r="20">
          <cell r="B20" t="str">
            <v>URI CAPDEVILA</v>
          </cell>
          <cell r="C20">
            <v>9</v>
          </cell>
          <cell r="D20" t="str">
            <v>MOMO RALLY</v>
          </cell>
          <cell r="E20">
            <v>47</v>
          </cell>
        </row>
        <row r="21">
          <cell r="B21" t="str">
            <v>GUILLEM ROMERO</v>
          </cell>
          <cell r="C21">
            <v>9</v>
          </cell>
          <cell r="D21" t="str">
            <v>MOMO RALLY</v>
          </cell>
          <cell r="E21">
            <v>47</v>
          </cell>
        </row>
        <row r="22">
          <cell r="B22" t="str">
            <v>POL GARCIA</v>
          </cell>
          <cell r="C22">
            <v>10</v>
          </cell>
          <cell r="D22" t="str">
            <v>DIT SLOT</v>
          </cell>
          <cell r="E22">
            <v>43</v>
          </cell>
        </row>
        <row r="23">
          <cell r="B23" t="str">
            <v>MARC LANSAC</v>
          </cell>
          <cell r="C23">
            <v>10</v>
          </cell>
          <cell r="D23" t="str">
            <v>DIT SLOT</v>
          </cell>
          <cell r="E23">
            <v>43</v>
          </cell>
        </row>
        <row r="24">
          <cell r="B24" t="str">
            <v>EDUARD GIL</v>
          </cell>
          <cell r="C24">
            <v>11</v>
          </cell>
          <cell r="D24" t="str">
            <v>STP SLOTMANIA-BIKE</v>
          </cell>
          <cell r="E24">
            <v>42</v>
          </cell>
        </row>
        <row r="25">
          <cell r="B25" t="str">
            <v>RICHARD ARREDONDO</v>
          </cell>
          <cell r="C25">
            <v>11</v>
          </cell>
          <cell r="D25" t="str">
            <v>STP SLOTMANIA-BIKE</v>
          </cell>
          <cell r="E25">
            <v>45</v>
          </cell>
        </row>
        <row r="26">
          <cell r="B26" t="str">
            <v>GABRIEL RODRIGUEZ</v>
          </cell>
          <cell r="C26">
            <v>12</v>
          </cell>
          <cell r="D26" t="str">
            <v>AMOTOR RACING</v>
          </cell>
          <cell r="E26">
            <v>41</v>
          </cell>
        </row>
        <row r="27">
          <cell r="B27" t="str">
            <v>IVAN GIMENO</v>
          </cell>
          <cell r="C27">
            <v>12</v>
          </cell>
          <cell r="D27" t="str">
            <v>AMOTOR RACING</v>
          </cell>
          <cell r="E27">
            <v>41</v>
          </cell>
        </row>
        <row r="28">
          <cell r="B28" t="str">
            <v>ADOLFO CHICO</v>
          </cell>
          <cell r="C28">
            <v>13</v>
          </cell>
          <cell r="D28" t="str">
            <v>SLOT-CAR SRT</v>
          </cell>
          <cell r="E28">
            <v>40</v>
          </cell>
        </row>
        <row r="29">
          <cell r="B29" t="str">
            <v>MARC NOMEN</v>
          </cell>
          <cell r="C29">
            <v>13</v>
          </cell>
          <cell r="D29" t="str">
            <v>SLOT-CAR SRT</v>
          </cell>
          <cell r="E29">
            <v>40</v>
          </cell>
        </row>
        <row r="30">
          <cell r="B30" t="str">
            <v>JOSEP Mª SEREROLS</v>
          </cell>
          <cell r="C30">
            <v>14</v>
          </cell>
          <cell r="D30" t="str">
            <v>EL SOT-TEAM</v>
          </cell>
          <cell r="E30">
            <v>39</v>
          </cell>
        </row>
        <row r="31">
          <cell r="B31" t="str">
            <v>EDUARD CERDA</v>
          </cell>
          <cell r="C31">
            <v>14</v>
          </cell>
          <cell r="D31" t="str">
            <v>EL SOT-TEAM</v>
          </cell>
          <cell r="E31">
            <v>39</v>
          </cell>
        </row>
        <row r="32">
          <cell r="B32" t="str">
            <v>DAVID IZQUIERDO</v>
          </cell>
          <cell r="C32">
            <v>15</v>
          </cell>
          <cell r="D32" t="str">
            <v>SLOTMANIA-RIDERS</v>
          </cell>
          <cell r="E32">
            <v>41</v>
          </cell>
        </row>
        <row r="33">
          <cell r="B33" t="str">
            <v>SERGI SOLA</v>
          </cell>
          <cell r="C33">
            <v>15</v>
          </cell>
          <cell r="D33" t="str">
            <v>SLOTMANIA-RIDERS</v>
          </cell>
          <cell r="E33">
            <v>41</v>
          </cell>
        </row>
        <row r="34">
          <cell r="B34" t="str">
            <v>JORDI CANYELLES</v>
          </cell>
          <cell r="C34">
            <v>16</v>
          </cell>
          <cell r="D34" t="str">
            <v>HOT SLOT FOR YOU</v>
          </cell>
          <cell r="E34">
            <v>37</v>
          </cell>
        </row>
        <row r="35">
          <cell r="B35" t="str">
            <v>XAVI CORTADA</v>
          </cell>
          <cell r="C35">
            <v>16</v>
          </cell>
          <cell r="D35" t="str">
            <v>HOT SLOT FOR YOU</v>
          </cell>
          <cell r="E35">
            <v>37</v>
          </cell>
        </row>
        <row r="36">
          <cell r="B36" t="str">
            <v>JORDI SIMO</v>
          </cell>
          <cell r="C36">
            <v>17</v>
          </cell>
          <cell r="D36" t="str">
            <v>DREAM SLOT-ESTEL·LATS</v>
          </cell>
          <cell r="E36">
            <v>36</v>
          </cell>
        </row>
        <row r="37">
          <cell r="B37" t="str">
            <v>CARLES CARREÑO</v>
          </cell>
          <cell r="C37">
            <v>17</v>
          </cell>
          <cell r="D37" t="str">
            <v>DREAM SLOT-ESTEL·LATS</v>
          </cell>
          <cell r="E37">
            <v>36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38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38</v>
          </cell>
        </row>
        <row r="40">
          <cell r="B40" t="str">
            <v>SERGI MARTINEZ</v>
          </cell>
          <cell r="C40">
            <v>19</v>
          </cell>
          <cell r="D40" t="str">
            <v>SLOTSAB-JUNIOR</v>
          </cell>
          <cell r="E40">
            <v>34</v>
          </cell>
        </row>
        <row r="41">
          <cell r="B41" t="str">
            <v>VICTOR LEON</v>
          </cell>
          <cell r="C41">
            <v>19</v>
          </cell>
          <cell r="D41" t="str">
            <v>SLOTSAB-JUNIOR</v>
          </cell>
          <cell r="E41">
            <v>34</v>
          </cell>
        </row>
        <row r="42">
          <cell r="B42" t="str">
            <v>SERGI SALADRIGAS</v>
          </cell>
          <cell r="C42">
            <v>20</v>
          </cell>
          <cell r="D42" t="str">
            <v>SLOT FOR YOU-CUIDADIN</v>
          </cell>
          <cell r="E42">
            <v>36</v>
          </cell>
        </row>
        <row r="43">
          <cell r="B43" t="str">
            <v>MARC CASANOVAS</v>
          </cell>
          <cell r="C43">
            <v>20</v>
          </cell>
          <cell r="D43" t="str">
            <v>SLOT FOR YOU-CUIDADIN</v>
          </cell>
          <cell r="E43">
            <v>36</v>
          </cell>
        </row>
        <row r="44">
          <cell r="B44" t="str">
            <v>MIGUEL ANGEL GARCIA</v>
          </cell>
          <cell r="C44">
            <v>21</v>
          </cell>
          <cell r="D44" t="str">
            <v>ESCUDERIA CRONO-1</v>
          </cell>
          <cell r="E44">
            <v>32</v>
          </cell>
        </row>
        <row r="45">
          <cell r="B45" t="str">
            <v>JAVIER MUÑOZ</v>
          </cell>
          <cell r="C45">
            <v>21</v>
          </cell>
          <cell r="D45" t="str">
            <v>ESCUDERIA CRONO-1</v>
          </cell>
          <cell r="E45">
            <v>32</v>
          </cell>
        </row>
        <row r="46">
          <cell r="B46" t="str">
            <v>ISRAEL NEVADO</v>
          </cell>
          <cell r="C46">
            <v>22</v>
          </cell>
          <cell r="D46" t="str">
            <v>DZERO TEAM-PADDOCK</v>
          </cell>
          <cell r="E46">
            <v>31</v>
          </cell>
        </row>
        <row r="47">
          <cell r="B47" t="str">
            <v>VICTOR GONZALEZ</v>
          </cell>
          <cell r="C47">
            <v>22</v>
          </cell>
          <cell r="D47" t="str">
            <v>DZERO TEAM-PADDOCK</v>
          </cell>
          <cell r="E47">
            <v>31</v>
          </cell>
        </row>
        <row r="48">
          <cell r="B48" t="str">
            <v>ANGEL NAVARRO</v>
          </cell>
          <cell r="C48">
            <v>23</v>
          </cell>
          <cell r="D48" t="str">
            <v>GASCLAVAT</v>
          </cell>
          <cell r="E48">
            <v>30</v>
          </cell>
        </row>
        <row r="49">
          <cell r="B49" t="str">
            <v>JUAN RAMON MESAS</v>
          </cell>
          <cell r="C49">
            <v>23</v>
          </cell>
          <cell r="D49" t="str">
            <v>GASCLAVAT</v>
          </cell>
          <cell r="E49">
            <v>30</v>
          </cell>
        </row>
        <row r="50">
          <cell r="B50" t="str">
            <v>JOSE MARIA MARTINEZ</v>
          </cell>
          <cell r="C50">
            <v>24</v>
          </cell>
          <cell r="D50" t="str">
            <v>SLOTSAB-JOOS</v>
          </cell>
          <cell r="E50">
            <v>29</v>
          </cell>
        </row>
        <row r="51">
          <cell r="B51" t="str">
            <v>OSCAR SANCHEZ</v>
          </cell>
          <cell r="C51">
            <v>24</v>
          </cell>
          <cell r="D51" t="str">
            <v>SLOTSAB-JOOS</v>
          </cell>
          <cell r="E51">
            <v>29</v>
          </cell>
        </row>
        <row r="52">
          <cell r="B52" t="str">
            <v>RAUL EGEA</v>
          </cell>
          <cell r="C52">
            <v>25</v>
          </cell>
          <cell r="D52" t="str">
            <v>SLOTSAB-CAR</v>
          </cell>
          <cell r="E52">
            <v>28</v>
          </cell>
        </row>
        <row r="53">
          <cell r="B53" t="str">
            <v>ISMAEL PIQUERAS</v>
          </cell>
          <cell r="C53">
            <v>25</v>
          </cell>
          <cell r="D53" t="str">
            <v>SLOTSAB-CAR</v>
          </cell>
          <cell r="E53">
            <v>28</v>
          </cell>
        </row>
        <row r="54">
          <cell r="B54" t="str">
            <v>MANUEL MARQUEZ</v>
          </cell>
          <cell r="C54">
            <v>26</v>
          </cell>
          <cell r="D54" t="str">
            <v>EL SOT-M&amp;M</v>
          </cell>
          <cell r="E54">
            <v>30</v>
          </cell>
        </row>
        <row r="55">
          <cell r="B55" t="str">
            <v>MANEL SORIANO</v>
          </cell>
          <cell r="C55">
            <v>26</v>
          </cell>
          <cell r="D55" t="str">
            <v>EL SOT-M&amp;M</v>
          </cell>
          <cell r="E55">
            <v>30</v>
          </cell>
        </row>
        <row r="56">
          <cell r="B56" t="str">
            <v>FRANCISCO AGUILERA</v>
          </cell>
          <cell r="C56">
            <v>27</v>
          </cell>
          <cell r="D56" t="str">
            <v>RADAR</v>
          </cell>
          <cell r="E56">
            <v>29</v>
          </cell>
        </row>
        <row r="57">
          <cell r="B57" t="str">
            <v>MIGUEL ANGEL AGUILERA</v>
          </cell>
          <cell r="C57">
            <v>27</v>
          </cell>
          <cell r="D57" t="str">
            <v>RADAR</v>
          </cell>
          <cell r="E57">
            <v>29</v>
          </cell>
        </row>
        <row r="58">
          <cell r="B58" t="str">
            <v>MARIUS MAGRO</v>
          </cell>
          <cell r="C58">
            <v>28</v>
          </cell>
          <cell r="D58" t="str">
            <v>ESCUDERIA CRONO-2</v>
          </cell>
          <cell r="E58">
            <v>28</v>
          </cell>
        </row>
        <row r="59">
          <cell r="B59" t="str">
            <v>RAFAEL MUÑOZ</v>
          </cell>
          <cell r="C59">
            <v>28</v>
          </cell>
          <cell r="D59" t="str">
            <v>ESCUDERIA CRONO-2</v>
          </cell>
          <cell r="E59">
            <v>25</v>
          </cell>
        </row>
        <row r="60">
          <cell r="B60" t="str">
            <v>JAUME LLOBET</v>
          </cell>
          <cell r="C60">
            <v>29</v>
          </cell>
          <cell r="D60" t="str">
            <v>SLOTFOURMANIA</v>
          </cell>
          <cell r="E60">
            <v>27</v>
          </cell>
        </row>
        <row r="61">
          <cell r="B61" t="str">
            <v>OSCAR VILA</v>
          </cell>
          <cell r="C61">
            <v>29</v>
          </cell>
          <cell r="D61" t="str">
            <v>SLOTFOURMANIA</v>
          </cell>
          <cell r="E61">
            <v>27</v>
          </cell>
        </row>
      </sheetData>
      <sheetData sheetId="2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EDUARD GIL</v>
          </cell>
          <cell r="C6">
            <v>2</v>
          </cell>
          <cell r="D6" t="str">
            <v>SLOTMANIA-BIKE</v>
          </cell>
          <cell r="E6">
            <v>64</v>
          </cell>
        </row>
        <row r="7">
          <cell r="B7" t="str">
            <v>ALBERT TOMAS</v>
          </cell>
          <cell r="C7">
            <v>2</v>
          </cell>
          <cell r="D7" t="str">
            <v>SLOTMANIA-BIKE</v>
          </cell>
          <cell r="E7">
            <v>64</v>
          </cell>
        </row>
        <row r="8">
          <cell r="B8" t="str">
            <v>JORDI ROBLES</v>
          </cell>
          <cell r="C8">
            <v>3</v>
          </cell>
          <cell r="D8" t="str">
            <v>EL SOT-FU</v>
          </cell>
          <cell r="E8">
            <v>59</v>
          </cell>
        </row>
        <row r="9">
          <cell r="B9" t="str">
            <v>ALEX ROBLES</v>
          </cell>
          <cell r="C9">
            <v>3</v>
          </cell>
          <cell r="D9" t="str">
            <v>EL SOT-FU</v>
          </cell>
          <cell r="E9">
            <v>59</v>
          </cell>
        </row>
        <row r="10">
          <cell r="B10" t="str">
            <v>CARLES CARREÑO</v>
          </cell>
          <cell r="C10">
            <v>4</v>
          </cell>
          <cell r="D10" t="str">
            <v>DEU I ELS SEUS AMICS</v>
          </cell>
          <cell r="E10">
            <v>58</v>
          </cell>
        </row>
        <row r="11">
          <cell r="B11" t="str">
            <v>MARC LANSAC</v>
          </cell>
          <cell r="C11">
            <v>4</v>
          </cell>
          <cell r="D11" t="str">
            <v>DEU I ELS SEUS AMICS</v>
          </cell>
          <cell r="E11">
            <v>55</v>
          </cell>
        </row>
        <row r="12">
          <cell r="B12" t="str">
            <v>JOSEP Mª SEREROLS</v>
          </cell>
          <cell r="C12">
            <v>5</v>
          </cell>
          <cell r="D12" t="str">
            <v>EL SOT-TEAM</v>
          </cell>
          <cell r="E12">
            <v>52</v>
          </cell>
        </row>
        <row r="13">
          <cell r="B13" t="str">
            <v>EDUARD CERDA</v>
          </cell>
          <cell r="C13">
            <v>5</v>
          </cell>
          <cell r="D13" t="str">
            <v>EL SOT-TEAM</v>
          </cell>
          <cell r="E13">
            <v>52</v>
          </cell>
        </row>
        <row r="14">
          <cell r="B14" t="str">
            <v>MARC GARCIA</v>
          </cell>
          <cell r="C14">
            <v>6</v>
          </cell>
          <cell r="D14" t="str">
            <v>DREAM SLOT-2</v>
          </cell>
          <cell r="E14">
            <v>53</v>
          </cell>
        </row>
        <row r="15">
          <cell r="B15" t="str">
            <v>JORDI RIEROLA</v>
          </cell>
          <cell r="C15">
            <v>6</v>
          </cell>
          <cell r="D15" t="str">
            <v>DREAM SLOT-2</v>
          </cell>
          <cell r="E15">
            <v>53</v>
          </cell>
        </row>
        <row r="16">
          <cell r="B16" t="str">
            <v>VALERI JONAMA</v>
          </cell>
          <cell r="C16">
            <v>7</v>
          </cell>
          <cell r="D16" t="str">
            <v>CRIC-CRAC</v>
          </cell>
          <cell r="E16">
            <v>48</v>
          </cell>
        </row>
        <row r="17">
          <cell r="B17" t="str">
            <v>ISRAEL GOMEZ</v>
          </cell>
          <cell r="C17">
            <v>7</v>
          </cell>
          <cell r="D17" t="str">
            <v>CRIC-CRAC</v>
          </cell>
          <cell r="E17">
            <v>48</v>
          </cell>
        </row>
        <row r="18">
          <cell r="B18" t="str">
            <v>SERGI MARTINEZ</v>
          </cell>
          <cell r="C18">
            <v>8</v>
          </cell>
          <cell r="D18" t="str">
            <v>SLOTSAB-JUNIOR</v>
          </cell>
          <cell r="E18">
            <v>49</v>
          </cell>
        </row>
        <row r="19">
          <cell r="B19" t="str">
            <v>VICTOR LEON</v>
          </cell>
          <cell r="C19">
            <v>8</v>
          </cell>
          <cell r="D19" t="str">
            <v>SLOTSAB-JUNIOR</v>
          </cell>
          <cell r="E19">
            <v>49</v>
          </cell>
        </row>
        <row r="20">
          <cell r="B20" t="str">
            <v>VICENS FEBRERO</v>
          </cell>
          <cell r="C20">
            <v>9</v>
          </cell>
          <cell r="D20" t="str">
            <v>SLOT FOR YOU</v>
          </cell>
          <cell r="E20">
            <v>44</v>
          </cell>
        </row>
        <row r="21">
          <cell r="B21" t="str">
            <v>JOEL MENDIZABAL</v>
          </cell>
          <cell r="C21">
            <v>9</v>
          </cell>
          <cell r="D21" t="str">
            <v>SLOT FOR YOU</v>
          </cell>
          <cell r="E21">
            <v>44</v>
          </cell>
        </row>
        <row r="22">
          <cell r="B22" t="str">
            <v>GABRIEL RODRIGUEZ</v>
          </cell>
          <cell r="C22">
            <v>10</v>
          </cell>
          <cell r="D22" t="str">
            <v>AMOTOR RACING</v>
          </cell>
          <cell r="E22">
            <v>46</v>
          </cell>
        </row>
        <row r="23">
          <cell r="B23" t="str">
            <v>IVAN GIMENO</v>
          </cell>
          <cell r="C23">
            <v>10</v>
          </cell>
          <cell r="D23" t="str">
            <v>AMOTOR RACING</v>
          </cell>
          <cell r="E23">
            <v>46</v>
          </cell>
        </row>
        <row r="24">
          <cell r="B24" t="str">
            <v>DAVID IZQUIERDO</v>
          </cell>
          <cell r="C24">
            <v>11</v>
          </cell>
          <cell r="D24" t="str">
            <v>SLOTMANIA-RIDERS</v>
          </cell>
          <cell r="E24">
            <v>45</v>
          </cell>
        </row>
        <row r="25">
          <cell r="B25" t="str">
            <v>SERGI SOLA</v>
          </cell>
          <cell r="C25">
            <v>11</v>
          </cell>
          <cell r="D25" t="str">
            <v>SLOTMANIA-RIDERS</v>
          </cell>
          <cell r="E25">
            <v>45</v>
          </cell>
        </row>
        <row r="26">
          <cell r="B26" t="str">
            <v>URI CAPDEVILA</v>
          </cell>
          <cell r="C26">
            <v>12</v>
          </cell>
          <cell r="D26" t="str">
            <v>MOMO RALLY</v>
          </cell>
          <cell r="E26">
            <v>44</v>
          </cell>
        </row>
        <row r="27">
          <cell r="B27" t="str">
            <v>GUILLEM ROMERO</v>
          </cell>
          <cell r="C27">
            <v>12</v>
          </cell>
          <cell r="D27" t="str">
            <v>MOMO RALLY</v>
          </cell>
          <cell r="E27">
            <v>44</v>
          </cell>
        </row>
        <row r="28">
          <cell r="B28" t="str">
            <v>ADOLFO CHICO</v>
          </cell>
          <cell r="C28">
            <v>13</v>
          </cell>
          <cell r="D28" t="str">
            <v>SLOT-CAR SRT</v>
          </cell>
          <cell r="E28">
            <v>43</v>
          </cell>
        </row>
        <row r="29">
          <cell r="B29" t="str">
            <v>MARC NOMEN</v>
          </cell>
          <cell r="C29">
            <v>13</v>
          </cell>
          <cell r="D29" t="str">
            <v>SLOT-CAR SRT</v>
          </cell>
          <cell r="E29">
            <v>43</v>
          </cell>
        </row>
        <row r="30">
          <cell r="B30" t="str">
            <v>ADAM PARERA</v>
          </cell>
          <cell r="C30">
            <v>14</v>
          </cell>
          <cell r="D30" t="str">
            <v>SLOT34YOU</v>
          </cell>
          <cell r="E30">
            <v>39</v>
          </cell>
        </row>
        <row r="31">
          <cell r="B31" t="str">
            <v>JORDI PEREZ</v>
          </cell>
          <cell r="C31">
            <v>14</v>
          </cell>
          <cell r="D31" t="str">
            <v>SLOT34YOU</v>
          </cell>
          <cell r="E31">
            <v>39</v>
          </cell>
        </row>
        <row r="32">
          <cell r="B32" t="str">
            <v>JORDI CANYELLES</v>
          </cell>
          <cell r="C32">
            <v>15</v>
          </cell>
          <cell r="D32" t="str">
            <v>HOT SLOT FOR YOU</v>
          </cell>
          <cell r="E32">
            <v>38</v>
          </cell>
        </row>
        <row r="33">
          <cell r="B33" t="str">
            <v>XAVI CORTADA</v>
          </cell>
          <cell r="C33">
            <v>15</v>
          </cell>
          <cell r="D33" t="str">
            <v>HOT SLOT FOR YOU</v>
          </cell>
          <cell r="E33">
            <v>38</v>
          </cell>
        </row>
        <row r="34">
          <cell r="B34" t="str">
            <v>SERGI SALADRIGAS</v>
          </cell>
          <cell r="C34">
            <v>16</v>
          </cell>
          <cell r="D34" t="str">
            <v>SLOT FOR YOU-CUIDADIN</v>
          </cell>
          <cell r="E34">
            <v>40</v>
          </cell>
        </row>
        <row r="35">
          <cell r="B35" t="str">
            <v>MARC CASANOVAS</v>
          </cell>
          <cell r="C35">
            <v>16</v>
          </cell>
          <cell r="D35" t="str">
            <v>SLOT FOR YOU-CUIDADIN</v>
          </cell>
          <cell r="E35">
            <v>40</v>
          </cell>
        </row>
        <row r="36">
          <cell r="B36" t="str">
            <v>PABLO FREGOSI</v>
          </cell>
          <cell r="C36">
            <v>17</v>
          </cell>
          <cell r="D36" t="str">
            <v>EL SOT-WARRIORS</v>
          </cell>
          <cell r="E36">
            <v>36</v>
          </cell>
        </row>
        <row r="37">
          <cell r="B37" t="str">
            <v>DAVID CELAYA</v>
          </cell>
          <cell r="C37">
            <v>17</v>
          </cell>
          <cell r="D37" t="str">
            <v>EL SOT-WARRIORS</v>
          </cell>
          <cell r="E37">
            <v>36</v>
          </cell>
        </row>
        <row r="38">
          <cell r="B38" t="str">
            <v>FRANCESC VIVAS</v>
          </cell>
          <cell r="C38">
            <v>18</v>
          </cell>
          <cell r="D38" t="str">
            <v>SLOT-CAR BF</v>
          </cell>
          <cell r="E38">
            <v>35</v>
          </cell>
        </row>
        <row r="39">
          <cell r="B39" t="str">
            <v>BERNAT VIVAS</v>
          </cell>
          <cell r="C39">
            <v>18</v>
          </cell>
          <cell r="D39" t="str">
            <v>SLOT-CAR BF</v>
          </cell>
          <cell r="E39">
            <v>35</v>
          </cell>
        </row>
        <row r="40">
          <cell r="B40" t="str">
            <v>ISRAEL NEVADO</v>
          </cell>
          <cell r="C40">
            <v>19</v>
          </cell>
          <cell r="D40" t="str">
            <v>DZERO TEAM-PADDOCK</v>
          </cell>
          <cell r="E40">
            <v>37</v>
          </cell>
        </row>
        <row r="41">
          <cell r="B41" t="str">
            <v>VICTOR GONZALEZ</v>
          </cell>
          <cell r="C41">
            <v>19</v>
          </cell>
          <cell r="D41" t="str">
            <v>DZERO TEAM-PADDOCK</v>
          </cell>
          <cell r="E41">
            <v>37</v>
          </cell>
        </row>
        <row r="42">
          <cell r="B42" t="str">
            <v>TONI CASTANYER</v>
          </cell>
          <cell r="C42">
            <v>20</v>
          </cell>
          <cell r="D42" t="str">
            <v>SLOTSAB-CAR</v>
          </cell>
          <cell r="E42">
            <v>33</v>
          </cell>
        </row>
        <row r="43">
          <cell r="B43" t="str">
            <v>RAUL EGEA</v>
          </cell>
          <cell r="C43">
            <v>20</v>
          </cell>
          <cell r="D43" t="str">
            <v>SLOTSAB-CAR</v>
          </cell>
          <cell r="E43">
            <v>33</v>
          </cell>
        </row>
        <row r="44">
          <cell r="B44" t="str">
            <v>VICTOR VELASCO</v>
          </cell>
          <cell r="C44">
            <v>21</v>
          </cell>
          <cell r="D44" t="str">
            <v>V-TEAM</v>
          </cell>
          <cell r="E44">
            <v>32</v>
          </cell>
        </row>
        <row r="45">
          <cell r="B45" t="str">
            <v>ABEL VIZU</v>
          </cell>
          <cell r="C45">
            <v>21</v>
          </cell>
          <cell r="D45" t="str">
            <v>V-TEAM</v>
          </cell>
          <cell r="E45">
            <v>32</v>
          </cell>
        </row>
        <row r="46">
          <cell r="B46" t="str">
            <v>JOSE MARIA MARTINEZ</v>
          </cell>
          <cell r="C46">
            <v>22</v>
          </cell>
          <cell r="D46" t="str">
            <v>SLOTSAB-JOOS</v>
          </cell>
          <cell r="E46">
            <v>34</v>
          </cell>
        </row>
        <row r="47">
          <cell r="B47" t="str">
            <v>OSCAR SANCHEZ</v>
          </cell>
          <cell r="C47">
            <v>22</v>
          </cell>
          <cell r="D47" t="str">
            <v>SLOTSAB-JOOS</v>
          </cell>
          <cell r="E47">
            <v>34</v>
          </cell>
        </row>
        <row r="48">
          <cell r="B48" t="str">
            <v>MIGUEL ANGEL GARCIA</v>
          </cell>
          <cell r="C48">
            <v>23</v>
          </cell>
          <cell r="D48" t="str">
            <v>ESCUDERIA CRONO-1</v>
          </cell>
          <cell r="E48">
            <v>33</v>
          </cell>
        </row>
        <row r="49">
          <cell r="B49" t="str">
            <v>JAVIER MUÑOZ</v>
          </cell>
          <cell r="C49">
            <v>23</v>
          </cell>
          <cell r="D49" t="str">
            <v>ESCUDERIA CRONO-1</v>
          </cell>
          <cell r="E49">
            <v>33</v>
          </cell>
        </row>
        <row r="50">
          <cell r="B50" t="str">
            <v>FRANCISCO AGUILERA</v>
          </cell>
          <cell r="C50">
            <v>24</v>
          </cell>
          <cell r="D50" t="str">
            <v>RADAR</v>
          </cell>
          <cell r="E50">
            <v>29</v>
          </cell>
        </row>
        <row r="51">
          <cell r="B51" t="str">
            <v>MIGUEL ANGEL AGUILERA</v>
          </cell>
          <cell r="C51">
            <v>24</v>
          </cell>
          <cell r="D51" t="str">
            <v>RADAR</v>
          </cell>
          <cell r="E51">
            <v>29</v>
          </cell>
        </row>
        <row r="52">
          <cell r="B52" t="str">
            <v>JAUME LLOBET</v>
          </cell>
          <cell r="C52">
            <v>25</v>
          </cell>
          <cell r="D52" t="str">
            <v>SLOTFOURMANIA</v>
          </cell>
          <cell r="E52">
            <v>28</v>
          </cell>
        </row>
        <row r="53">
          <cell r="B53" t="str">
            <v>OSCAR VILA</v>
          </cell>
          <cell r="C53">
            <v>25</v>
          </cell>
          <cell r="D53" t="str">
            <v>SLOTFOURMANIA</v>
          </cell>
          <cell r="E53">
            <v>28</v>
          </cell>
        </row>
        <row r="54">
          <cell r="B54" t="str">
            <v>LORENZO VERA</v>
          </cell>
          <cell r="C54">
            <v>26</v>
          </cell>
          <cell r="D54" t="str">
            <v>SLOT LEGO</v>
          </cell>
          <cell r="E54">
            <v>27</v>
          </cell>
        </row>
        <row r="55">
          <cell r="B55" t="str">
            <v>GERARD FERRER</v>
          </cell>
          <cell r="C55">
            <v>26</v>
          </cell>
          <cell r="D55" t="str">
            <v>SLOT LEGO</v>
          </cell>
          <cell r="E55">
            <v>27</v>
          </cell>
        </row>
        <row r="56">
          <cell r="B56" t="str">
            <v>OSCAR ALARCON</v>
          </cell>
          <cell r="C56">
            <v>27</v>
          </cell>
          <cell r="D56" t="str">
            <v>GRANOLLERS-BATUA L'OLLA</v>
          </cell>
          <cell r="E56">
            <v>26</v>
          </cell>
        </row>
        <row r="57">
          <cell r="B57" t="str">
            <v>XAVI ARANDA</v>
          </cell>
          <cell r="C57">
            <v>27</v>
          </cell>
          <cell r="D57" t="str">
            <v>GRANOLLERS-BATUA L'OLLA</v>
          </cell>
          <cell r="E57">
            <v>26</v>
          </cell>
        </row>
        <row r="58">
          <cell r="B58" t="str">
            <v>CARLOS MESTRE</v>
          </cell>
          <cell r="C58">
            <v>28</v>
          </cell>
          <cell r="D58" t="str">
            <v>DREAM SLOT-ANANKE</v>
          </cell>
          <cell r="E58">
            <v>25</v>
          </cell>
        </row>
        <row r="59">
          <cell r="B59" t="str">
            <v>RAIMON ROVELLAT</v>
          </cell>
          <cell r="C59">
            <v>28</v>
          </cell>
          <cell r="D59" t="str">
            <v>DREAM SLOT-ANANKE</v>
          </cell>
          <cell r="E59">
            <v>25</v>
          </cell>
        </row>
        <row r="60">
          <cell r="B60" t="str">
            <v>RAFAEL MUÑOZ</v>
          </cell>
          <cell r="C60">
            <v>29</v>
          </cell>
          <cell r="D60" t="str">
            <v>ESCUDERIA CRONO-3</v>
          </cell>
          <cell r="E60">
            <v>24</v>
          </cell>
        </row>
        <row r="61">
          <cell r="B61" t="str">
            <v>VICTOR LOPEZ</v>
          </cell>
          <cell r="C61">
            <v>29</v>
          </cell>
          <cell r="D61" t="str">
            <v>ESCUDERIA CRONO-3</v>
          </cell>
          <cell r="E61">
            <v>24</v>
          </cell>
        </row>
      </sheetData>
      <sheetData sheetId="3">
        <row r="4">
          <cell r="B4" t="str">
            <v>JORDI ROBLES</v>
          </cell>
          <cell r="C4">
            <v>1</v>
          </cell>
          <cell r="D4" t="str">
            <v>EL SOT-FU</v>
          </cell>
          <cell r="E4">
            <v>70</v>
          </cell>
        </row>
        <row r="5">
          <cell r="B5" t="str">
            <v>ALEX ROBLES</v>
          </cell>
          <cell r="C5">
            <v>1</v>
          </cell>
          <cell r="D5" t="str">
            <v>EL SOT-FU</v>
          </cell>
          <cell r="E5">
            <v>70</v>
          </cell>
        </row>
        <row r="6">
          <cell r="B6" t="str">
            <v>JOSEP Mª MOLINS</v>
          </cell>
          <cell r="C6">
            <v>2</v>
          </cell>
          <cell r="D6" t="str">
            <v>SLOTMANIA-MOMO</v>
          </cell>
          <cell r="E6">
            <v>64</v>
          </cell>
        </row>
        <row r="7">
          <cell r="B7" t="str">
            <v>BESAY PORTA</v>
          </cell>
          <cell r="C7">
            <v>2</v>
          </cell>
          <cell r="D7" t="str">
            <v>SLOTMANIA-MOMO</v>
          </cell>
          <cell r="E7">
            <v>64</v>
          </cell>
        </row>
        <row r="8">
          <cell r="B8" t="str">
            <v>JORDI CANYELLES</v>
          </cell>
          <cell r="C8">
            <v>3</v>
          </cell>
          <cell r="D8" t="str">
            <v>HOT SLOT FOR YOU</v>
          </cell>
          <cell r="E8">
            <v>62</v>
          </cell>
        </row>
        <row r="9">
          <cell r="B9" t="str">
            <v>XAVI CORTADA</v>
          </cell>
          <cell r="C9">
            <v>3</v>
          </cell>
          <cell r="D9" t="str">
            <v>HOT SLOT FOR YOU</v>
          </cell>
          <cell r="E9">
            <v>62</v>
          </cell>
        </row>
        <row r="10">
          <cell r="B10" t="str">
            <v>JOSEP Mª SEREROLS</v>
          </cell>
          <cell r="C10">
            <v>4</v>
          </cell>
          <cell r="D10" t="str">
            <v>EL SOT-TEAM</v>
          </cell>
          <cell r="E10">
            <v>58</v>
          </cell>
        </row>
        <row r="11">
          <cell r="B11" t="str">
            <v>EDUARD CERDA</v>
          </cell>
          <cell r="C11">
            <v>4</v>
          </cell>
          <cell r="D11" t="str">
            <v>EL SOT-TEAM</v>
          </cell>
          <cell r="E11">
            <v>58</v>
          </cell>
        </row>
        <row r="12">
          <cell r="B12" t="str">
            <v>POL GARCIA</v>
          </cell>
          <cell r="C12">
            <v>5</v>
          </cell>
          <cell r="D12" t="str">
            <v>DIT SLOT</v>
          </cell>
          <cell r="E12">
            <v>52</v>
          </cell>
        </row>
        <row r="13">
          <cell r="B13" t="str">
            <v>MARC LANSAC</v>
          </cell>
          <cell r="C13">
            <v>5</v>
          </cell>
          <cell r="D13" t="str">
            <v>DIT SLOT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50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50</v>
          </cell>
        </row>
        <row r="16">
          <cell r="B16" t="str">
            <v>JORDI SIMO</v>
          </cell>
          <cell r="C16">
            <v>7</v>
          </cell>
          <cell r="D16" t="str">
            <v>DREAM SLOT-ESTEL·LATS</v>
          </cell>
          <cell r="E16">
            <v>48</v>
          </cell>
        </row>
        <row r="17">
          <cell r="B17" t="str">
            <v>CARLES CARREÑO</v>
          </cell>
          <cell r="C17">
            <v>7</v>
          </cell>
          <cell r="D17" t="str">
            <v>DREAM SLOT-ESTEL·LATS</v>
          </cell>
          <cell r="E17">
            <v>48</v>
          </cell>
        </row>
        <row r="18">
          <cell r="B18" t="str">
            <v>EDUARD GIL</v>
          </cell>
          <cell r="C18">
            <v>8</v>
          </cell>
          <cell r="D18" t="str">
            <v>SLOTMANIA-BIKE</v>
          </cell>
          <cell r="E18">
            <v>49</v>
          </cell>
        </row>
        <row r="19">
          <cell r="B19" t="str">
            <v>ALBERT TOMAS</v>
          </cell>
          <cell r="C19">
            <v>8</v>
          </cell>
          <cell r="D19" t="str">
            <v>SLOTMANIA-BIKE</v>
          </cell>
          <cell r="E19">
            <v>49</v>
          </cell>
        </row>
        <row r="20">
          <cell r="B20" t="str">
            <v>PABLO FREGOSI</v>
          </cell>
          <cell r="C20">
            <v>9</v>
          </cell>
          <cell r="D20" t="str">
            <v>EL SOT-WARRIORS</v>
          </cell>
          <cell r="E20">
            <v>44</v>
          </cell>
        </row>
        <row r="21">
          <cell r="B21" t="str">
            <v>DAVID CELAYA</v>
          </cell>
          <cell r="C21">
            <v>9</v>
          </cell>
          <cell r="D21" t="str">
            <v>EL SOT-WARRIORS</v>
          </cell>
          <cell r="E21">
            <v>44</v>
          </cell>
        </row>
        <row r="22">
          <cell r="B22" t="str">
            <v>RUBEN SANCHEZ</v>
          </cell>
          <cell r="C22">
            <v>10</v>
          </cell>
          <cell r="D22" t="str">
            <v>SLOTMANIA</v>
          </cell>
          <cell r="E22">
            <v>43</v>
          </cell>
        </row>
        <row r="23">
          <cell r="B23" t="str">
            <v>MARC GARCIA</v>
          </cell>
          <cell r="C23">
            <v>10</v>
          </cell>
          <cell r="D23" t="str">
            <v>SLOTMANIA</v>
          </cell>
          <cell r="E23">
            <v>46</v>
          </cell>
        </row>
        <row r="24">
          <cell r="B24" t="str">
            <v>URI CAPDEVILA</v>
          </cell>
          <cell r="C24">
            <v>11</v>
          </cell>
          <cell r="D24" t="str">
            <v>MOMO RALLY</v>
          </cell>
          <cell r="E24">
            <v>42</v>
          </cell>
        </row>
        <row r="25">
          <cell r="B25" t="str">
            <v>GUILLEM ROMERO</v>
          </cell>
          <cell r="C25">
            <v>11</v>
          </cell>
          <cell r="D25" t="str">
            <v>MOMO RALLY</v>
          </cell>
          <cell r="E25">
            <v>42</v>
          </cell>
        </row>
        <row r="26">
          <cell r="B26" t="str">
            <v>JULEN VALBUENA</v>
          </cell>
          <cell r="C26">
            <v>12</v>
          </cell>
          <cell r="D26" t="str">
            <v>STP-ARREPLEGATS</v>
          </cell>
          <cell r="E26">
            <v>41</v>
          </cell>
        </row>
        <row r="27">
          <cell r="B27" t="str">
            <v>RICHARD ARREDONDO</v>
          </cell>
          <cell r="C27">
            <v>12</v>
          </cell>
          <cell r="D27" t="str">
            <v>STP-ARREPLEGATS</v>
          </cell>
          <cell r="E27">
            <v>41</v>
          </cell>
        </row>
        <row r="28">
          <cell r="B28" t="str">
            <v>ALBERT TRAFACH</v>
          </cell>
          <cell r="C28">
            <v>13</v>
          </cell>
          <cell r="D28" t="str">
            <v>EL SOT-SPORT</v>
          </cell>
          <cell r="E28">
            <v>40</v>
          </cell>
        </row>
        <row r="29">
          <cell r="B29" t="str">
            <v>ERIC RUIZ</v>
          </cell>
          <cell r="C29">
            <v>13</v>
          </cell>
          <cell r="D29" t="str">
            <v>EL SOT-SPORT</v>
          </cell>
          <cell r="E29">
            <v>40</v>
          </cell>
        </row>
        <row r="30">
          <cell r="B30" t="str">
            <v>GABRIEL RODRIGUEZ</v>
          </cell>
          <cell r="C30">
            <v>14</v>
          </cell>
          <cell r="D30" t="str">
            <v>AMOTOR RACING</v>
          </cell>
          <cell r="E30">
            <v>39</v>
          </cell>
        </row>
        <row r="31">
          <cell r="B31" t="str">
            <v>IVAN GIMENO</v>
          </cell>
          <cell r="C31">
            <v>14</v>
          </cell>
          <cell r="D31" t="str">
            <v>AMOTOR RACING</v>
          </cell>
          <cell r="E31">
            <v>39</v>
          </cell>
        </row>
        <row r="32">
          <cell r="B32" t="str">
            <v>SERGI SALADRIGAS</v>
          </cell>
          <cell r="C32">
            <v>15</v>
          </cell>
          <cell r="D32" t="str">
            <v>SLOT FOR YOU-CUIDADIN</v>
          </cell>
          <cell r="E32">
            <v>41</v>
          </cell>
        </row>
        <row r="33">
          <cell r="B33" t="str">
            <v>MARC CASANOVAS</v>
          </cell>
          <cell r="C33">
            <v>15</v>
          </cell>
          <cell r="D33" t="str">
            <v>SLOT FOR YOU-CUIDADIN</v>
          </cell>
          <cell r="E33">
            <v>41</v>
          </cell>
        </row>
        <row r="34">
          <cell r="B34" t="str">
            <v>DAVID IZQUIERDO</v>
          </cell>
          <cell r="C34">
            <v>16</v>
          </cell>
          <cell r="D34" t="str">
            <v>SLOTMANIA-RIDERS</v>
          </cell>
          <cell r="E34">
            <v>40</v>
          </cell>
        </row>
        <row r="35">
          <cell r="B35" t="str">
            <v>SERGI SOLA</v>
          </cell>
          <cell r="C35">
            <v>16</v>
          </cell>
          <cell r="D35" t="str">
            <v>SLOTMANIA-RIDERS</v>
          </cell>
          <cell r="E35">
            <v>40</v>
          </cell>
        </row>
        <row r="36">
          <cell r="B36" t="str">
            <v>VICENS FEBRERO</v>
          </cell>
          <cell r="C36">
            <v>17</v>
          </cell>
          <cell r="D36" t="str">
            <v>SLOT FOR YOU</v>
          </cell>
          <cell r="E36">
            <v>36</v>
          </cell>
        </row>
        <row r="37">
          <cell r="B37" t="str">
            <v>JOEL MENDIZABAL</v>
          </cell>
          <cell r="C37">
            <v>17</v>
          </cell>
          <cell r="D37" t="str">
            <v>SLOT FOR YOU</v>
          </cell>
          <cell r="E37">
            <v>36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35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35</v>
          </cell>
        </row>
        <row r="40">
          <cell r="B40" t="str">
            <v>ADOLFO CHICO</v>
          </cell>
          <cell r="C40">
            <v>19</v>
          </cell>
          <cell r="D40" t="str">
            <v>SLOT-CAR SRT</v>
          </cell>
          <cell r="E40">
            <v>34</v>
          </cell>
        </row>
        <row r="41">
          <cell r="B41" t="str">
            <v>MARC NOMEN</v>
          </cell>
          <cell r="C41">
            <v>19</v>
          </cell>
          <cell r="D41" t="str">
            <v>SLOT-CAR SRT</v>
          </cell>
          <cell r="E41">
            <v>34</v>
          </cell>
        </row>
        <row r="42">
          <cell r="B42" t="str">
            <v>ISRAEL NEVADO</v>
          </cell>
          <cell r="C42">
            <v>20</v>
          </cell>
          <cell r="D42" t="str">
            <v>DZERO TEAM-PADDOCK</v>
          </cell>
          <cell r="E42">
            <v>36</v>
          </cell>
        </row>
        <row r="43">
          <cell r="B43" t="str">
            <v>VICTOR GONZALEZ</v>
          </cell>
          <cell r="C43">
            <v>20</v>
          </cell>
          <cell r="D43" t="str">
            <v>DZERO TEAM-PADDOCK</v>
          </cell>
          <cell r="E43">
            <v>36</v>
          </cell>
        </row>
        <row r="44">
          <cell r="B44" t="str">
            <v>ANGEL NAVARRO</v>
          </cell>
          <cell r="C44">
            <v>21</v>
          </cell>
          <cell r="D44" t="str">
            <v>GASCLAVAT</v>
          </cell>
          <cell r="E44">
            <v>32</v>
          </cell>
        </row>
        <row r="45">
          <cell r="B45" t="str">
            <v>JUAN RAMON MESAS</v>
          </cell>
          <cell r="C45">
            <v>21</v>
          </cell>
          <cell r="D45" t="str">
            <v>GASCLAVAT</v>
          </cell>
          <cell r="E45">
            <v>32</v>
          </cell>
        </row>
        <row r="46">
          <cell r="B46" t="str">
            <v>ALBERT ATIENZA</v>
          </cell>
          <cell r="C46">
            <v>22</v>
          </cell>
          <cell r="D46" t="str">
            <v>MORPHEUS GASCLAVAT</v>
          </cell>
          <cell r="E46">
            <v>31</v>
          </cell>
        </row>
        <row r="47">
          <cell r="B47" t="str">
            <v>CRISTIAN DIAZ</v>
          </cell>
          <cell r="C47">
            <v>22</v>
          </cell>
          <cell r="D47" t="str">
            <v>MORPHEUS GASCLAVAT</v>
          </cell>
          <cell r="E47">
            <v>31</v>
          </cell>
        </row>
        <row r="48">
          <cell r="B48" t="str">
            <v>SERGI MARTINEZ</v>
          </cell>
          <cell r="C48">
            <v>23</v>
          </cell>
          <cell r="D48" t="str">
            <v>SLOTSAB-JUNIOR</v>
          </cell>
          <cell r="E48">
            <v>30</v>
          </cell>
        </row>
        <row r="49">
          <cell r="B49" t="str">
            <v>VICTOR LEON</v>
          </cell>
          <cell r="C49">
            <v>23</v>
          </cell>
          <cell r="D49" t="str">
            <v>SLOTSAB-JUNIOR</v>
          </cell>
          <cell r="E49">
            <v>30</v>
          </cell>
        </row>
        <row r="50">
          <cell r="B50" t="str">
            <v>JORDI PALMADA</v>
          </cell>
          <cell r="C50">
            <v>24</v>
          </cell>
          <cell r="D50" t="str">
            <v>DOSLOT GRANOLLERS</v>
          </cell>
          <cell r="E50">
            <v>29</v>
          </cell>
        </row>
        <row r="51">
          <cell r="B51" t="str">
            <v>JORDI MUÑOZ</v>
          </cell>
          <cell r="C51">
            <v>24</v>
          </cell>
          <cell r="D51" t="str">
            <v>DOSLOT GRANOLLERS</v>
          </cell>
          <cell r="E51">
            <v>29</v>
          </cell>
        </row>
        <row r="52">
          <cell r="B52" t="str">
            <v>TONI CASTANYER</v>
          </cell>
          <cell r="C52">
            <v>25</v>
          </cell>
          <cell r="D52" t="str">
            <v>SLOTSAB-CAR</v>
          </cell>
          <cell r="E52">
            <v>28</v>
          </cell>
        </row>
        <row r="53">
          <cell r="B53" t="str">
            <v>RAUL EGEA</v>
          </cell>
          <cell r="C53">
            <v>25</v>
          </cell>
          <cell r="D53" t="str">
            <v>SLOTSAB-CAR</v>
          </cell>
          <cell r="E53">
            <v>28</v>
          </cell>
        </row>
        <row r="54">
          <cell r="B54" t="str">
            <v>JAUME LLOBET</v>
          </cell>
          <cell r="C54">
            <v>26</v>
          </cell>
          <cell r="D54" t="str">
            <v>SLOTFOURMANIA</v>
          </cell>
          <cell r="E54">
            <v>30</v>
          </cell>
        </row>
        <row r="55">
          <cell r="B55" t="str">
            <v>OSCAR VILA</v>
          </cell>
          <cell r="C55">
            <v>26</v>
          </cell>
          <cell r="D55" t="str">
            <v>SLOTFOURMANIA</v>
          </cell>
          <cell r="E55">
            <v>30</v>
          </cell>
        </row>
        <row r="56">
          <cell r="B56" t="str">
            <v>OSCAR ALARCON</v>
          </cell>
          <cell r="C56">
            <v>27</v>
          </cell>
          <cell r="D56" t="str">
            <v>GRANOLLERS-BATUA L'OLLA</v>
          </cell>
          <cell r="E56">
            <v>29</v>
          </cell>
        </row>
        <row r="57">
          <cell r="B57" t="str">
            <v>XAVI ARANDA</v>
          </cell>
          <cell r="C57">
            <v>27</v>
          </cell>
          <cell r="D57" t="str">
            <v>GRANOLLERS-BATUA L'OLLA</v>
          </cell>
          <cell r="E57">
            <v>29</v>
          </cell>
        </row>
        <row r="58">
          <cell r="B58" t="str">
            <v>FRANCISCO AGUILERA</v>
          </cell>
          <cell r="C58">
            <v>28</v>
          </cell>
          <cell r="D58" t="str">
            <v>RADAR</v>
          </cell>
          <cell r="E58">
            <v>25</v>
          </cell>
        </row>
        <row r="59">
          <cell r="B59" t="str">
            <v>MIGUEL ANGEL AGUILERA</v>
          </cell>
          <cell r="C59">
            <v>28</v>
          </cell>
          <cell r="D59" t="str">
            <v>RADAR</v>
          </cell>
          <cell r="E59">
            <v>25</v>
          </cell>
        </row>
        <row r="60">
          <cell r="B60" t="str">
            <v>LORENZO LERA</v>
          </cell>
          <cell r="C60">
            <v>29</v>
          </cell>
          <cell r="D60" t="str">
            <v>SLOT LEGO</v>
          </cell>
          <cell r="E60">
            <v>24</v>
          </cell>
        </row>
        <row r="61">
          <cell r="B61" t="str">
            <v>GERARD FARRES</v>
          </cell>
          <cell r="C61">
            <v>29</v>
          </cell>
          <cell r="D61" t="str">
            <v>SLOT LEGO</v>
          </cell>
          <cell r="E61">
            <v>24</v>
          </cell>
        </row>
        <row r="62">
          <cell r="B62" t="str">
            <v>MANUEL MARQUEZ</v>
          </cell>
          <cell r="C62">
            <v>30</v>
          </cell>
          <cell r="D62" t="str">
            <v>EL SOT-M&amp;M</v>
          </cell>
          <cell r="E62">
            <v>23</v>
          </cell>
        </row>
        <row r="63">
          <cell r="B63" t="str">
            <v>MANEL SORIANO</v>
          </cell>
          <cell r="C63">
            <v>30</v>
          </cell>
          <cell r="D63" t="str">
            <v>EL SOT-M&amp;M</v>
          </cell>
          <cell r="E63">
            <v>23</v>
          </cell>
        </row>
        <row r="64">
          <cell r="B64" t="str">
            <v>RAFAEL MUÑOZ</v>
          </cell>
          <cell r="C64">
            <v>31</v>
          </cell>
          <cell r="D64" t="str">
            <v>ESCUDERIA CRONO-3</v>
          </cell>
          <cell r="E64">
            <v>22</v>
          </cell>
        </row>
        <row r="65">
          <cell r="B65" t="str">
            <v>VICTOR LOPEZ</v>
          </cell>
          <cell r="C65">
            <v>31</v>
          </cell>
          <cell r="D65" t="str">
            <v>ESCUDERIA CRONO-3</v>
          </cell>
          <cell r="E65">
            <v>22</v>
          </cell>
        </row>
      </sheetData>
      <sheetData sheetId="4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OSCAR CAPEL</v>
          </cell>
          <cell r="C6">
            <v>2</v>
          </cell>
          <cell r="D6" t="str">
            <v>EL SOT-SPORT</v>
          </cell>
          <cell r="E6">
            <v>67</v>
          </cell>
        </row>
        <row r="7">
          <cell r="B7" t="str">
            <v>ALBERT TRAFACH</v>
          </cell>
          <cell r="C7">
            <v>2</v>
          </cell>
          <cell r="D7" t="str">
            <v>EL SOT-SPORT</v>
          </cell>
          <cell r="E7">
            <v>67</v>
          </cell>
        </row>
        <row r="8">
          <cell r="B8" t="str">
            <v>URI CAPDEVILA</v>
          </cell>
          <cell r="C8">
            <v>3</v>
          </cell>
          <cell r="D8" t="str">
            <v>MOMO RALLY</v>
          </cell>
          <cell r="E8">
            <v>59</v>
          </cell>
        </row>
        <row r="9">
          <cell r="B9" t="str">
            <v>GUILLEM ROMERO</v>
          </cell>
          <cell r="C9">
            <v>3</v>
          </cell>
          <cell r="D9" t="str">
            <v>MOMO RALLY</v>
          </cell>
          <cell r="E9">
            <v>59</v>
          </cell>
        </row>
        <row r="10">
          <cell r="B10" t="str">
            <v>JOSEP Mª SEREROLS</v>
          </cell>
          <cell r="C10">
            <v>4</v>
          </cell>
          <cell r="D10" t="str">
            <v>EL SOT-TEAM</v>
          </cell>
          <cell r="E10">
            <v>55</v>
          </cell>
        </row>
        <row r="11">
          <cell r="B11" t="str">
            <v>EDUARD CERDA</v>
          </cell>
          <cell r="C11">
            <v>4</v>
          </cell>
          <cell r="D11" t="str">
            <v>EL SOT-TEAM</v>
          </cell>
          <cell r="E11">
            <v>55</v>
          </cell>
        </row>
        <row r="12">
          <cell r="B12" t="str">
            <v>VICENS FEBRERO</v>
          </cell>
          <cell r="C12">
            <v>5</v>
          </cell>
          <cell r="D12" t="str">
            <v>SLOT FOR YOU</v>
          </cell>
          <cell r="E12">
            <v>52</v>
          </cell>
        </row>
        <row r="13">
          <cell r="B13" t="str">
            <v>JOEL MENDIZABAL</v>
          </cell>
          <cell r="C13">
            <v>5</v>
          </cell>
          <cell r="D13" t="str">
            <v>SLOT FOR YOU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53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53</v>
          </cell>
        </row>
        <row r="16">
          <cell r="B16" t="str">
            <v>JULEN VALBUENA</v>
          </cell>
          <cell r="C16">
            <v>7</v>
          </cell>
          <cell r="D16" t="str">
            <v>ARREPLEGATS</v>
          </cell>
          <cell r="E16">
            <v>51</v>
          </cell>
        </row>
        <row r="17">
          <cell r="B17" t="str">
            <v>GERMA PORTET</v>
          </cell>
          <cell r="C17">
            <v>7</v>
          </cell>
          <cell r="D17" t="str">
            <v>ARREPLEGATS</v>
          </cell>
          <cell r="E17">
            <v>51</v>
          </cell>
        </row>
        <row r="18">
          <cell r="B18" t="str">
            <v>JORDI ROBLES</v>
          </cell>
          <cell r="C18">
            <v>8</v>
          </cell>
          <cell r="D18" t="str">
            <v>EL SOT-FU</v>
          </cell>
          <cell r="E18">
            <v>46</v>
          </cell>
        </row>
        <row r="19">
          <cell r="B19" t="str">
            <v>ALEX ROBLES</v>
          </cell>
          <cell r="C19">
            <v>8</v>
          </cell>
          <cell r="D19" t="str">
            <v>EL SOT-FU</v>
          </cell>
          <cell r="E19">
            <v>46</v>
          </cell>
        </row>
        <row r="20">
          <cell r="B20" t="str">
            <v>ERIC RUIZ</v>
          </cell>
          <cell r="C20">
            <v>9</v>
          </cell>
          <cell r="D20" t="str">
            <v>STP4YOU</v>
          </cell>
          <cell r="E20">
            <v>44</v>
          </cell>
        </row>
        <row r="21">
          <cell r="B21" t="str">
            <v>RICHARD ARREDONDO</v>
          </cell>
          <cell r="C21">
            <v>9</v>
          </cell>
          <cell r="D21" t="str">
            <v>STP4YOU</v>
          </cell>
          <cell r="E21">
            <v>44</v>
          </cell>
        </row>
        <row r="22">
          <cell r="B22" t="str">
            <v>JORDI SIMO</v>
          </cell>
          <cell r="C22">
            <v>10</v>
          </cell>
          <cell r="D22" t="str">
            <v>DREAM SLOT-ESTEL·LATS</v>
          </cell>
          <cell r="E22">
            <v>46</v>
          </cell>
        </row>
        <row r="23">
          <cell r="B23" t="str">
            <v>CARLES CARREÑO</v>
          </cell>
          <cell r="C23">
            <v>10</v>
          </cell>
          <cell r="D23" t="str">
            <v>DREAM SLOT-ESTEL·LATS</v>
          </cell>
          <cell r="E23">
            <v>46</v>
          </cell>
        </row>
        <row r="24">
          <cell r="B24" t="str">
            <v>EDUARD GIL</v>
          </cell>
          <cell r="C24">
            <v>11</v>
          </cell>
          <cell r="D24" t="str">
            <v>SLOTMANIA-BIKE</v>
          </cell>
          <cell r="E24">
            <v>45</v>
          </cell>
        </row>
        <row r="25">
          <cell r="B25" t="str">
            <v>ALBERT TOMAS</v>
          </cell>
          <cell r="C25">
            <v>11</v>
          </cell>
          <cell r="D25" t="str">
            <v>SLOTMANIA-BIKE</v>
          </cell>
          <cell r="E25">
            <v>45</v>
          </cell>
        </row>
        <row r="26">
          <cell r="B26" t="str">
            <v>PABLO FREGOSI</v>
          </cell>
          <cell r="C26">
            <v>12</v>
          </cell>
          <cell r="D26" t="str">
            <v>EL SOT-WARRIORS</v>
          </cell>
          <cell r="E26">
            <v>41</v>
          </cell>
        </row>
        <row r="27">
          <cell r="B27" t="str">
            <v>DAVID CELAYA</v>
          </cell>
          <cell r="C27">
            <v>12</v>
          </cell>
          <cell r="D27" t="str">
            <v>EL SOT-WARRIORS</v>
          </cell>
          <cell r="E27">
            <v>41</v>
          </cell>
        </row>
        <row r="28">
          <cell r="B28" t="str">
            <v>MIQUEL BONAVIDA</v>
          </cell>
          <cell r="C28">
            <v>13</v>
          </cell>
          <cell r="D28" t="str">
            <v>EL SOT-HORTA</v>
          </cell>
          <cell r="E28">
            <v>40</v>
          </cell>
        </row>
        <row r="29">
          <cell r="B29" t="str">
            <v>FRANCESC LIÑAN</v>
          </cell>
          <cell r="C29">
            <v>13</v>
          </cell>
          <cell r="D29" t="str">
            <v>EL SOT-HORTA</v>
          </cell>
          <cell r="E29">
            <v>43</v>
          </cell>
        </row>
        <row r="30">
          <cell r="B30" t="str">
            <v>ENRIC ILLA</v>
          </cell>
          <cell r="C30">
            <v>14</v>
          </cell>
          <cell r="D30" t="str">
            <v>GRANOLLERS-RACING</v>
          </cell>
          <cell r="E30">
            <v>39</v>
          </cell>
        </row>
        <row r="31">
          <cell r="B31" t="str">
            <v>CARLOS MAÑANES</v>
          </cell>
          <cell r="C31">
            <v>14</v>
          </cell>
          <cell r="D31" t="str">
            <v>GRANOLLERS-RACING</v>
          </cell>
          <cell r="E31">
            <v>39</v>
          </cell>
        </row>
        <row r="32">
          <cell r="B32" t="str">
            <v>SERGI SALADRIGAS</v>
          </cell>
          <cell r="C32">
            <v>15</v>
          </cell>
          <cell r="D32" t="str">
            <v>SLOT FOR YOU-CUIDADIN</v>
          </cell>
          <cell r="E32">
            <v>41</v>
          </cell>
        </row>
        <row r="33">
          <cell r="B33" t="str">
            <v>MARC CASANOVAS</v>
          </cell>
          <cell r="C33">
            <v>15</v>
          </cell>
          <cell r="D33" t="str">
            <v>SLOT FOR YOU-CUIDADIN</v>
          </cell>
          <cell r="E33">
            <v>41</v>
          </cell>
        </row>
        <row r="34">
          <cell r="B34" t="str">
            <v>DAVID IZQUIERDO</v>
          </cell>
          <cell r="C34">
            <v>16</v>
          </cell>
          <cell r="D34" t="str">
            <v>SLOTMANIA-RIDERS</v>
          </cell>
          <cell r="E34">
            <v>40</v>
          </cell>
        </row>
        <row r="35">
          <cell r="B35" t="str">
            <v>SERGI SOLA</v>
          </cell>
          <cell r="C35">
            <v>16</v>
          </cell>
          <cell r="D35" t="str">
            <v>SLOTMANIA-RIDERS</v>
          </cell>
          <cell r="E35">
            <v>40</v>
          </cell>
        </row>
        <row r="36">
          <cell r="B36" t="str">
            <v>JORDI CANYELLES</v>
          </cell>
          <cell r="C36">
            <v>17</v>
          </cell>
          <cell r="D36" t="str">
            <v>HOT SLOT FOR YOU</v>
          </cell>
          <cell r="E36">
            <v>39</v>
          </cell>
        </row>
        <row r="37">
          <cell r="B37" t="str">
            <v>XAVI CORTADA</v>
          </cell>
          <cell r="C37">
            <v>17</v>
          </cell>
          <cell r="D37" t="str">
            <v>HOT SLOT FOR YOU</v>
          </cell>
          <cell r="E37">
            <v>39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38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38</v>
          </cell>
        </row>
        <row r="40">
          <cell r="B40" t="str">
            <v>LORENZO RODRIGUEZ</v>
          </cell>
          <cell r="C40">
            <v>19</v>
          </cell>
          <cell r="D40" t="str">
            <v>EL SOT-RACE</v>
          </cell>
          <cell r="E40">
            <v>34</v>
          </cell>
        </row>
        <row r="41">
          <cell r="B41" t="str">
            <v>ANGEL BROCEÑO</v>
          </cell>
          <cell r="C41">
            <v>19</v>
          </cell>
          <cell r="D41" t="str">
            <v>EL SOT-RACE</v>
          </cell>
          <cell r="E41">
            <v>34</v>
          </cell>
        </row>
        <row r="42">
          <cell r="B42" t="str">
            <v>CARLOS REPISO</v>
          </cell>
          <cell r="C42">
            <v>20</v>
          </cell>
          <cell r="D42" t="str">
            <v>EL SOT-ABARTH</v>
          </cell>
          <cell r="E42">
            <v>33</v>
          </cell>
        </row>
        <row r="43">
          <cell r="B43" t="str">
            <v>VICTOR QUEROL</v>
          </cell>
          <cell r="C43">
            <v>20</v>
          </cell>
          <cell r="D43" t="str">
            <v>EL SOT-ABARTH</v>
          </cell>
          <cell r="E43">
            <v>33</v>
          </cell>
        </row>
        <row r="44">
          <cell r="B44" t="str">
            <v>MANUEL MARQUEZ</v>
          </cell>
          <cell r="C44">
            <v>21</v>
          </cell>
          <cell r="D44" t="str">
            <v>EL SOT-M&amp;M</v>
          </cell>
          <cell r="E44">
            <v>32</v>
          </cell>
        </row>
        <row r="45">
          <cell r="B45" t="str">
            <v>MANEL SORIANO</v>
          </cell>
          <cell r="C45">
            <v>21</v>
          </cell>
          <cell r="D45" t="str">
            <v>EL SOT-M&amp;M</v>
          </cell>
          <cell r="E45">
            <v>32</v>
          </cell>
        </row>
        <row r="46">
          <cell r="B46" t="str">
            <v>GABRIEL RODRIGUEZ</v>
          </cell>
          <cell r="C46">
            <v>22</v>
          </cell>
          <cell r="D46" t="str">
            <v>AMOTOR RACING</v>
          </cell>
          <cell r="E46">
            <v>34</v>
          </cell>
        </row>
        <row r="47">
          <cell r="B47" t="str">
            <v>IVAN GIMENO</v>
          </cell>
          <cell r="C47">
            <v>22</v>
          </cell>
          <cell r="D47" t="str">
            <v>AMOTOR RACING</v>
          </cell>
          <cell r="E47">
            <v>34</v>
          </cell>
        </row>
        <row r="48">
          <cell r="B48" t="str">
            <v>ISRAEL NEVADO</v>
          </cell>
          <cell r="C48">
            <v>23</v>
          </cell>
          <cell r="D48" t="str">
            <v>DZERO TEAM-PADDOCK</v>
          </cell>
          <cell r="E48">
            <v>33</v>
          </cell>
        </row>
        <row r="49">
          <cell r="B49" t="str">
            <v>VICTOR GONZALEZ</v>
          </cell>
          <cell r="C49">
            <v>23</v>
          </cell>
          <cell r="D49" t="str">
            <v>DZERO TEAM-PADDOCK</v>
          </cell>
          <cell r="E49">
            <v>33</v>
          </cell>
        </row>
        <row r="50">
          <cell r="B50" t="str">
            <v>ADOLFO CHICO</v>
          </cell>
          <cell r="C50">
            <v>24</v>
          </cell>
          <cell r="D50" t="str">
            <v>SLOT-CAR SRT</v>
          </cell>
          <cell r="E50">
            <v>29</v>
          </cell>
        </row>
        <row r="51">
          <cell r="B51" t="str">
            <v>MARC NOMEN</v>
          </cell>
          <cell r="C51">
            <v>24</v>
          </cell>
          <cell r="D51" t="str">
            <v>SLOT-CAR SRT</v>
          </cell>
          <cell r="E51">
            <v>29</v>
          </cell>
        </row>
        <row r="52">
          <cell r="B52" t="str">
            <v>MARC GARCIA</v>
          </cell>
          <cell r="C52">
            <v>25</v>
          </cell>
          <cell r="D52" t="str">
            <v>DREAM SLOT-2</v>
          </cell>
          <cell r="E52">
            <v>31</v>
          </cell>
        </row>
        <row r="53">
          <cell r="B53" t="str">
            <v>JORDI RIEROLA</v>
          </cell>
          <cell r="C53">
            <v>25</v>
          </cell>
          <cell r="D53" t="str">
            <v>DREAM SLOT-2</v>
          </cell>
          <cell r="E53">
            <v>31</v>
          </cell>
        </row>
        <row r="54">
          <cell r="B54" t="str">
            <v>ALBERTO BOLSA</v>
          </cell>
          <cell r="C54">
            <v>26</v>
          </cell>
          <cell r="D54" t="str">
            <v>SENNA SLOT</v>
          </cell>
          <cell r="E54">
            <v>27</v>
          </cell>
        </row>
        <row r="55">
          <cell r="B55" t="str">
            <v>ALFONS BARCELO</v>
          </cell>
          <cell r="C55">
            <v>26</v>
          </cell>
          <cell r="D55" t="str">
            <v>SENNA SLOT</v>
          </cell>
          <cell r="E55">
            <v>27</v>
          </cell>
        </row>
        <row r="56">
          <cell r="B56" t="str">
            <v>ANGEL NAVARRO</v>
          </cell>
          <cell r="C56">
            <v>27</v>
          </cell>
          <cell r="D56" t="str">
            <v>GASCLAVAT</v>
          </cell>
          <cell r="E56">
            <v>29</v>
          </cell>
        </row>
        <row r="57">
          <cell r="B57" t="str">
            <v>JUAN RAMON MESAS</v>
          </cell>
          <cell r="C57">
            <v>27</v>
          </cell>
          <cell r="D57" t="str">
            <v>GASCLAVAT</v>
          </cell>
          <cell r="E57">
            <v>29</v>
          </cell>
        </row>
        <row r="58">
          <cell r="B58" t="str">
            <v>SERGI MARTINEZ</v>
          </cell>
          <cell r="C58">
            <v>28</v>
          </cell>
          <cell r="D58" t="str">
            <v>SLOTSAB-JUNIOR</v>
          </cell>
          <cell r="E58">
            <v>25</v>
          </cell>
        </row>
        <row r="59">
          <cell r="B59" t="str">
            <v>VICTOR LEON</v>
          </cell>
          <cell r="C59">
            <v>28</v>
          </cell>
          <cell r="D59" t="str">
            <v>SLOTSAB-JUNIOR</v>
          </cell>
          <cell r="E59">
            <v>25</v>
          </cell>
        </row>
        <row r="60">
          <cell r="B60" t="str">
            <v>OSCAR ALARCON</v>
          </cell>
          <cell r="C60">
            <v>29</v>
          </cell>
          <cell r="D60" t="str">
            <v>GRANOLLERS-BATUA L'OLLA</v>
          </cell>
          <cell r="E60">
            <v>24</v>
          </cell>
        </row>
        <row r="61">
          <cell r="B61" t="str">
            <v>XAVI ARANDA</v>
          </cell>
          <cell r="C61">
            <v>29</v>
          </cell>
          <cell r="D61" t="str">
            <v>GRANOLLERS-BATUA L'OLLA</v>
          </cell>
          <cell r="E61">
            <v>24</v>
          </cell>
        </row>
        <row r="62">
          <cell r="B62" t="str">
            <v>FRANCISCO AGUILERA</v>
          </cell>
          <cell r="C62">
            <v>30</v>
          </cell>
          <cell r="D62" t="str">
            <v>RADAR</v>
          </cell>
          <cell r="E62">
            <v>23</v>
          </cell>
        </row>
        <row r="63">
          <cell r="B63" t="str">
            <v>MIGUEL ANGEL AGUILERA</v>
          </cell>
          <cell r="C63">
            <v>30</v>
          </cell>
          <cell r="D63" t="str">
            <v>RADAR</v>
          </cell>
          <cell r="E63">
            <v>23</v>
          </cell>
        </row>
        <row r="64">
          <cell r="B64" t="str">
            <v>JORDI PALMADA</v>
          </cell>
          <cell r="C64">
            <v>31</v>
          </cell>
          <cell r="D64" t="str">
            <v>DOSLOT GRANOLLERS</v>
          </cell>
          <cell r="E64">
            <v>25</v>
          </cell>
        </row>
        <row r="65">
          <cell r="B65" t="str">
            <v>JORDI MUÑOZ</v>
          </cell>
          <cell r="C65">
            <v>31</v>
          </cell>
          <cell r="D65" t="str">
            <v>DOSLOT GRANOLLERS</v>
          </cell>
          <cell r="E65">
            <v>25</v>
          </cell>
        </row>
        <row r="66">
          <cell r="B66" t="str">
            <v>TONI CASTANYER</v>
          </cell>
          <cell r="C66">
            <v>32</v>
          </cell>
          <cell r="D66" t="str">
            <v>SLOTSAB-CAR</v>
          </cell>
          <cell r="E66">
            <v>21</v>
          </cell>
        </row>
        <row r="67">
          <cell r="B67" t="str">
            <v>RAUL EGEA</v>
          </cell>
          <cell r="C67">
            <v>32</v>
          </cell>
          <cell r="D67" t="str">
            <v>SLOTSAB-CAR</v>
          </cell>
          <cell r="E67">
            <v>21</v>
          </cell>
        </row>
        <row r="68">
          <cell r="B68" t="str">
            <v>MIGUEL ANGEL GARCIA</v>
          </cell>
          <cell r="C68">
            <v>33</v>
          </cell>
          <cell r="D68" t="str">
            <v>ESCUDERIA CRONO-1</v>
          </cell>
          <cell r="E68">
            <v>20</v>
          </cell>
        </row>
        <row r="69">
          <cell r="B69" t="str">
            <v>JAVIER MUÑOZ</v>
          </cell>
          <cell r="C69">
            <v>33</v>
          </cell>
          <cell r="D69" t="str">
            <v>ESCUDERIA CRONO-1</v>
          </cell>
          <cell r="E69">
            <v>20</v>
          </cell>
        </row>
        <row r="70">
          <cell r="B70" t="str">
            <v>ALBERT ATIENZA</v>
          </cell>
          <cell r="C70">
            <v>34</v>
          </cell>
          <cell r="D70" t="str">
            <v>MORPHEUS GASCLAVAT</v>
          </cell>
          <cell r="E70">
            <v>19</v>
          </cell>
        </row>
        <row r="71">
          <cell r="B71" t="str">
            <v>CRISTIAN DIAZ</v>
          </cell>
          <cell r="C71">
            <v>34</v>
          </cell>
          <cell r="D71" t="str">
            <v>MORPHEUS GASCLAVAT</v>
          </cell>
          <cell r="E71">
            <v>19</v>
          </cell>
        </row>
        <row r="72">
          <cell r="B72" t="str">
            <v>JAUME LLOBET</v>
          </cell>
          <cell r="C72">
            <v>35</v>
          </cell>
          <cell r="D72" t="str">
            <v>SLOTFOURMANIA</v>
          </cell>
          <cell r="E72">
            <v>18</v>
          </cell>
        </row>
        <row r="73">
          <cell r="B73" t="str">
            <v>OSCAR VILA</v>
          </cell>
          <cell r="C73">
            <v>35</v>
          </cell>
          <cell r="D73" t="str">
            <v>SLOTFOURMANIA</v>
          </cell>
          <cell r="E73">
            <v>18</v>
          </cell>
        </row>
        <row r="74">
          <cell r="B74" t="str">
            <v>CARLOS MESTRE</v>
          </cell>
          <cell r="C74">
            <v>36</v>
          </cell>
          <cell r="D74" t="str">
            <v>DREAM SLOT-ANANKE</v>
          </cell>
          <cell r="E74">
            <v>20</v>
          </cell>
        </row>
        <row r="75">
          <cell r="B75" t="str">
            <v>RAIMON ROVELLAT</v>
          </cell>
          <cell r="C75">
            <v>36</v>
          </cell>
          <cell r="D75" t="str">
            <v>DREAM SLOT-ANANKE</v>
          </cell>
          <cell r="E75">
            <v>20</v>
          </cell>
        </row>
        <row r="76">
          <cell r="B76" t="str">
            <v>POL GARCIA</v>
          </cell>
          <cell r="C76">
            <v>37</v>
          </cell>
          <cell r="D76" t="str">
            <v>DIT SLOT</v>
          </cell>
          <cell r="E76">
            <v>16</v>
          </cell>
        </row>
        <row r="77">
          <cell r="B77" t="str">
            <v>MARC LANSAC</v>
          </cell>
          <cell r="C77">
            <v>37</v>
          </cell>
          <cell r="D77" t="str">
            <v>DIT SLOT</v>
          </cell>
          <cell r="E77">
            <v>16</v>
          </cell>
        </row>
      </sheetData>
      <sheetData sheetId="5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ERIC RUIZ</v>
          </cell>
          <cell r="C6">
            <v>2</v>
          </cell>
          <cell r="D6" t="str">
            <v>STP4YOU</v>
          </cell>
          <cell r="E6">
            <v>64</v>
          </cell>
        </row>
        <row r="7">
          <cell r="B7" t="str">
            <v>RICHARD ARREDONDO</v>
          </cell>
          <cell r="C7">
            <v>2</v>
          </cell>
          <cell r="D7" t="str">
            <v>STP4YOU</v>
          </cell>
          <cell r="E7">
            <v>64</v>
          </cell>
        </row>
        <row r="8">
          <cell r="B8" t="str">
            <v>VICENS FEBRERO</v>
          </cell>
          <cell r="C8">
            <v>3</v>
          </cell>
          <cell r="D8" t="str">
            <v>SLOT FOR YOU</v>
          </cell>
          <cell r="E8">
            <v>59</v>
          </cell>
        </row>
        <row r="9">
          <cell r="B9" t="str">
            <v>JOEL MENDIZABAL</v>
          </cell>
          <cell r="C9">
            <v>3</v>
          </cell>
          <cell r="D9" t="str">
            <v>SLOT FOR YOU</v>
          </cell>
          <cell r="E9">
            <v>59</v>
          </cell>
        </row>
        <row r="10">
          <cell r="B10" t="str">
            <v>URI CAPDEVILA</v>
          </cell>
          <cell r="C10">
            <v>4</v>
          </cell>
          <cell r="D10" t="str">
            <v>MOMO RALLY</v>
          </cell>
          <cell r="E10">
            <v>55</v>
          </cell>
        </row>
        <row r="11">
          <cell r="B11" t="str">
            <v>GUILLEM ROMERO</v>
          </cell>
          <cell r="C11">
            <v>4</v>
          </cell>
          <cell r="D11" t="str">
            <v>MOMO RALLY</v>
          </cell>
          <cell r="E11">
            <v>55</v>
          </cell>
        </row>
        <row r="12">
          <cell r="B12" t="str">
            <v>JORDI SIMO</v>
          </cell>
          <cell r="C12">
            <v>5</v>
          </cell>
          <cell r="D12" t="str">
            <v>DREAM SLOT-ESTEL·LATS</v>
          </cell>
          <cell r="E12">
            <v>52</v>
          </cell>
        </row>
        <row r="13">
          <cell r="B13" t="str">
            <v>CARLES CARREÑO</v>
          </cell>
          <cell r="C13">
            <v>5</v>
          </cell>
          <cell r="D13" t="str">
            <v>DREAM SLOT-ESTEL·LATS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53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53</v>
          </cell>
        </row>
        <row r="16">
          <cell r="B16" t="str">
            <v>ALBERT LOMBARTE</v>
          </cell>
          <cell r="C16">
            <v>7</v>
          </cell>
          <cell r="D16" t="str">
            <v>MORPHEUS PALMARES</v>
          </cell>
          <cell r="E16">
            <v>51</v>
          </cell>
        </row>
        <row r="17">
          <cell r="B17" t="str">
            <v>GERARD MALIVERN</v>
          </cell>
          <cell r="C17">
            <v>7</v>
          </cell>
          <cell r="D17" t="str">
            <v>MORPHEUS PALMARES</v>
          </cell>
          <cell r="E17">
            <v>51</v>
          </cell>
        </row>
        <row r="18">
          <cell r="B18" t="str">
            <v>ENRIC ILLA</v>
          </cell>
          <cell r="C18">
            <v>8</v>
          </cell>
          <cell r="D18" t="str">
            <v>GRANOLLERS-RACING</v>
          </cell>
          <cell r="E18">
            <v>46</v>
          </cell>
        </row>
        <row r="19">
          <cell r="B19" t="str">
            <v>CARLOS MAÑANES</v>
          </cell>
          <cell r="C19">
            <v>8</v>
          </cell>
          <cell r="D19" t="str">
            <v>GRANOLLERS-RACING</v>
          </cell>
          <cell r="E19">
            <v>46</v>
          </cell>
        </row>
        <row r="20">
          <cell r="B20" t="str">
            <v>JULEN VALBUENA</v>
          </cell>
          <cell r="C20">
            <v>9</v>
          </cell>
          <cell r="D20" t="str">
            <v>ARREPLEGATS</v>
          </cell>
          <cell r="E20">
            <v>44</v>
          </cell>
        </row>
        <row r="21">
          <cell r="B21" t="str">
            <v>GERMA PORTET</v>
          </cell>
          <cell r="C21">
            <v>9</v>
          </cell>
          <cell r="D21" t="str">
            <v>ARREPLEGATS</v>
          </cell>
          <cell r="E21">
            <v>44</v>
          </cell>
        </row>
        <row r="22">
          <cell r="B22" t="str">
            <v>JORDI CANYELLES</v>
          </cell>
          <cell r="C22">
            <v>10</v>
          </cell>
          <cell r="D22" t="str">
            <v>HOT SLOT FOR YOU</v>
          </cell>
          <cell r="E22">
            <v>43</v>
          </cell>
        </row>
        <row r="23">
          <cell r="B23" t="str">
            <v>XAVI CORTADA</v>
          </cell>
          <cell r="C23">
            <v>10</v>
          </cell>
          <cell r="D23" t="str">
            <v>HOT SLOT FOR YOU</v>
          </cell>
          <cell r="E23">
            <v>43</v>
          </cell>
        </row>
        <row r="24">
          <cell r="B24" t="str">
            <v>JOSEP Mª SEREROLS</v>
          </cell>
          <cell r="C24">
            <v>11</v>
          </cell>
          <cell r="D24" t="str">
            <v>EL SOT-TEAM</v>
          </cell>
          <cell r="E24">
            <v>42</v>
          </cell>
        </row>
        <row r="25">
          <cell r="B25" t="str">
            <v>EDUARD CERDA</v>
          </cell>
          <cell r="C25">
            <v>11</v>
          </cell>
          <cell r="D25" t="str">
            <v>EL SOT-TEAM</v>
          </cell>
          <cell r="E25">
            <v>42</v>
          </cell>
        </row>
        <row r="26">
          <cell r="B26" t="str">
            <v>JORDI ROBLES</v>
          </cell>
          <cell r="C26">
            <v>12</v>
          </cell>
          <cell r="D26" t="str">
            <v>EL SOT-FU</v>
          </cell>
          <cell r="E26">
            <v>44</v>
          </cell>
        </row>
        <row r="27">
          <cell r="B27" t="str">
            <v>ALEX ROBLES</v>
          </cell>
          <cell r="C27">
            <v>12</v>
          </cell>
          <cell r="D27" t="str">
            <v>EL SOT-FU</v>
          </cell>
          <cell r="E27">
            <v>44</v>
          </cell>
        </row>
        <row r="28">
          <cell r="B28" t="str">
            <v>MARC GARCIA</v>
          </cell>
          <cell r="C28">
            <v>13</v>
          </cell>
          <cell r="D28" t="str">
            <v>DREAM SLOT-2</v>
          </cell>
          <cell r="E28">
            <v>40</v>
          </cell>
        </row>
        <row r="29">
          <cell r="B29" t="str">
            <v>JORDI RIEROLA</v>
          </cell>
          <cell r="C29">
            <v>13</v>
          </cell>
          <cell r="D29" t="str">
            <v>DREAM SLOT-2</v>
          </cell>
          <cell r="E29">
            <v>40</v>
          </cell>
        </row>
        <row r="30">
          <cell r="B30" t="str">
            <v>ADOLFO CHICO</v>
          </cell>
          <cell r="C30">
            <v>14</v>
          </cell>
          <cell r="D30" t="str">
            <v>SLOT-CAR SRT</v>
          </cell>
          <cell r="E30">
            <v>42</v>
          </cell>
        </row>
        <row r="31">
          <cell r="B31" t="str">
            <v>MARC NOMEN</v>
          </cell>
          <cell r="C31">
            <v>14</v>
          </cell>
          <cell r="D31" t="str">
            <v>SLOT-CAR SRT</v>
          </cell>
          <cell r="E31">
            <v>42</v>
          </cell>
        </row>
        <row r="32">
          <cell r="B32" t="str">
            <v>POL GARCIA</v>
          </cell>
          <cell r="C32">
            <v>15</v>
          </cell>
          <cell r="D32" t="str">
            <v>DIT SLOT</v>
          </cell>
          <cell r="E32">
            <v>41</v>
          </cell>
        </row>
        <row r="33">
          <cell r="B33" t="str">
            <v>MARC LANSAC</v>
          </cell>
          <cell r="C33">
            <v>15</v>
          </cell>
          <cell r="D33" t="str">
            <v>DIT SLOT</v>
          </cell>
          <cell r="E33">
            <v>41</v>
          </cell>
        </row>
        <row r="34">
          <cell r="B34" t="str">
            <v>ADAM PARERA</v>
          </cell>
          <cell r="C34">
            <v>16</v>
          </cell>
          <cell r="D34" t="str">
            <v>SLOT34YOU</v>
          </cell>
          <cell r="E34">
            <v>40</v>
          </cell>
        </row>
        <row r="35">
          <cell r="B35" t="str">
            <v>JORDI PEREZ</v>
          </cell>
          <cell r="C35">
            <v>16</v>
          </cell>
          <cell r="D35" t="str">
            <v>SLOT34YOU</v>
          </cell>
          <cell r="E35">
            <v>40</v>
          </cell>
        </row>
        <row r="36">
          <cell r="B36" t="str">
            <v>DAVID IZQUIERDO</v>
          </cell>
          <cell r="C36">
            <v>17</v>
          </cell>
          <cell r="D36" t="str">
            <v>SLOTMANIA-RIDERS</v>
          </cell>
          <cell r="E36">
            <v>39</v>
          </cell>
        </row>
        <row r="37">
          <cell r="B37" t="str">
            <v>SERGI SOLA</v>
          </cell>
          <cell r="C37">
            <v>17</v>
          </cell>
          <cell r="D37" t="str">
            <v>SLOTMANIA-RIDERS</v>
          </cell>
          <cell r="E37">
            <v>39</v>
          </cell>
        </row>
        <row r="38">
          <cell r="B38" t="str">
            <v>SERGI SALADRIGAS</v>
          </cell>
          <cell r="C38">
            <v>18</v>
          </cell>
          <cell r="D38" t="str">
            <v>SLOT FOR YOU-CUIDADIN</v>
          </cell>
          <cell r="E38">
            <v>35</v>
          </cell>
        </row>
        <row r="39">
          <cell r="B39" t="str">
            <v>MARC CASANOVAS</v>
          </cell>
          <cell r="C39">
            <v>18</v>
          </cell>
          <cell r="D39" t="str">
            <v>SLOT FOR YOU-CUIDADIN</v>
          </cell>
          <cell r="E39">
            <v>35</v>
          </cell>
        </row>
        <row r="40">
          <cell r="B40" t="str">
            <v>EDUARD GIL</v>
          </cell>
          <cell r="C40">
            <v>19</v>
          </cell>
          <cell r="D40" t="str">
            <v>SLOTMANIA-BIKE</v>
          </cell>
          <cell r="E40">
            <v>37</v>
          </cell>
        </row>
        <row r="41">
          <cell r="B41" t="str">
            <v>ALBERT TOMAS</v>
          </cell>
          <cell r="C41">
            <v>19</v>
          </cell>
          <cell r="D41" t="str">
            <v>SLOTMANIA-BIKE</v>
          </cell>
          <cell r="E41">
            <v>37</v>
          </cell>
        </row>
        <row r="42">
          <cell r="B42" t="str">
            <v>CARLOS REPISO</v>
          </cell>
          <cell r="C42">
            <v>20</v>
          </cell>
          <cell r="D42" t="str">
            <v>EL SOT-ABARTH</v>
          </cell>
          <cell r="E42">
            <v>36</v>
          </cell>
        </row>
        <row r="43">
          <cell r="B43" t="str">
            <v>VICTOR QUEROL</v>
          </cell>
          <cell r="C43">
            <v>20</v>
          </cell>
          <cell r="D43" t="str">
            <v>EL SOT-ABARTH</v>
          </cell>
          <cell r="E43">
            <v>36</v>
          </cell>
        </row>
        <row r="44">
          <cell r="B44" t="str">
            <v>OSCAR CAPEL</v>
          </cell>
          <cell r="C44">
            <v>21</v>
          </cell>
          <cell r="D44" t="str">
            <v>EL SOT-SPORT</v>
          </cell>
          <cell r="E44">
            <v>32</v>
          </cell>
        </row>
        <row r="45">
          <cell r="B45" t="str">
            <v>ALBERT TRAFACH</v>
          </cell>
          <cell r="C45">
            <v>21</v>
          </cell>
          <cell r="D45" t="str">
            <v>EL SOT-SPORT</v>
          </cell>
          <cell r="E45">
            <v>32</v>
          </cell>
        </row>
        <row r="46">
          <cell r="B46" t="str">
            <v>GABRIEL RODRIGUEZ</v>
          </cell>
          <cell r="C46">
            <v>22</v>
          </cell>
          <cell r="D46" t="str">
            <v>AMOTOR RACING</v>
          </cell>
          <cell r="E46">
            <v>31</v>
          </cell>
        </row>
        <row r="47">
          <cell r="B47" t="str">
            <v>IVAN GIMENO</v>
          </cell>
          <cell r="C47">
            <v>22</v>
          </cell>
          <cell r="D47" t="str">
            <v>AMOTOR RACING</v>
          </cell>
          <cell r="E47">
            <v>31</v>
          </cell>
        </row>
        <row r="48">
          <cell r="B48" t="str">
            <v>ANGEL NAVARRO</v>
          </cell>
          <cell r="C48">
            <v>23</v>
          </cell>
          <cell r="D48" t="str">
            <v>GASCLAVAT</v>
          </cell>
          <cell r="E48">
            <v>33</v>
          </cell>
        </row>
        <row r="49">
          <cell r="B49" t="str">
            <v>JUAN RAMON MESAS</v>
          </cell>
          <cell r="C49">
            <v>23</v>
          </cell>
          <cell r="D49" t="str">
            <v>GASCLAVAT</v>
          </cell>
          <cell r="E49">
            <v>33</v>
          </cell>
        </row>
        <row r="50">
          <cell r="B50" t="str">
            <v>PABLO FREGOSI</v>
          </cell>
          <cell r="C50">
            <v>24</v>
          </cell>
          <cell r="D50" t="str">
            <v>EL SOT-WARRIORS</v>
          </cell>
          <cell r="E50">
            <v>32</v>
          </cell>
        </row>
        <row r="51">
          <cell r="B51" t="str">
            <v>DAVID CELAYA</v>
          </cell>
          <cell r="C51">
            <v>24</v>
          </cell>
          <cell r="D51" t="str">
            <v>EL SOT-WARRIORS</v>
          </cell>
          <cell r="E51">
            <v>32</v>
          </cell>
        </row>
        <row r="52">
          <cell r="B52" t="str">
            <v>ALBERTO BOLSA</v>
          </cell>
          <cell r="C52">
            <v>25</v>
          </cell>
          <cell r="D52" t="str">
            <v>SENNA SLOT</v>
          </cell>
          <cell r="E52">
            <v>28</v>
          </cell>
        </row>
        <row r="53">
          <cell r="B53" t="str">
            <v>ALFONS BARCELO</v>
          </cell>
          <cell r="C53">
            <v>25</v>
          </cell>
          <cell r="D53" t="str">
            <v>SENNA SLOT</v>
          </cell>
          <cell r="E53">
            <v>28</v>
          </cell>
        </row>
        <row r="54">
          <cell r="B54" t="str">
            <v>ISRAEL NEVADO</v>
          </cell>
          <cell r="C54">
            <v>26</v>
          </cell>
          <cell r="D54" t="str">
            <v>DZERO TEAM-PADDOCK</v>
          </cell>
          <cell r="E54">
            <v>27</v>
          </cell>
        </row>
        <row r="55">
          <cell r="B55" t="str">
            <v>VICTOR GONZALEZ</v>
          </cell>
          <cell r="C55">
            <v>26</v>
          </cell>
          <cell r="D55" t="str">
            <v>DZERO TEAM-PADDOCK</v>
          </cell>
          <cell r="E55">
            <v>27</v>
          </cell>
        </row>
        <row r="56">
          <cell r="B56" t="str">
            <v>MANUEL MARQUEZ</v>
          </cell>
          <cell r="C56">
            <v>27</v>
          </cell>
          <cell r="D56" t="str">
            <v>EL SOT-M&amp;M</v>
          </cell>
          <cell r="E56">
            <v>29</v>
          </cell>
        </row>
        <row r="57">
          <cell r="B57" t="str">
            <v>MANEL SORIANO</v>
          </cell>
          <cell r="C57">
            <v>27</v>
          </cell>
          <cell r="D57" t="str">
            <v>EL SOT-M&amp;M</v>
          </cell>
          <cell r="E57">
            <v>29</v>
          </cell>
        </row>
        <row r="58">
          <cell r="B58" t="str">
            <v>OSCAR ALARCON</v>
          </cell>
          <cell r="C58">
            <v>28</v>
          </cell>
          <cell r="D58" t="str">
            <v>GRANOLLERS-BATUA L'OLLA</v>
          </cell>
          <cell r="E58">
            <v>28</v>
          </cell>
        </row>
        <row r="59">
          <cell r="B59" t="str">
            <v>XAVI ARANDA</v>
          </cell>
          <cell r="C59">
            <v>28</v>
          </cell>
          <cell r="D59" t="str">
            <v>GRANOLLERS-BATUA L'OLLA</v>
          </cell>
          <cell r="E59">
            <v>28</v>
          </cell>
        </row>
        <row r="60">
          <cell r="B60" t="str">
            <v>CRISTIAN DIAZ</v>
          </cell>
          <cell r="C60">
            <v>29</v>
          </cell>
          <cell r="D60" t="str">
            <v>MORPHEUS GASCLAVAT</v>
          </cell>
          <cell r="E60">
            <v>27</v>
          </cell>
        </row>
        <row r="61">
          <cell r="B61" t="str">
            <v>XAVI BELLOT</v>
          </cell>
          <cell r="C61">
            <v>29</v>
          </cell>
          <cell r="D61" t="str">
            <v>MORPHEUS GASCLAVAT</v>
          </cell>
          <cell r="E61">
            <v>24</v>
          </cell>
        </row>
        <row r="62">
          <cell r="B62" t="str">
            <v>JOSE MARIA MARTINEZ</v>
          </cell>
          <cell r="C62">
            <v>30</v>
          </cell>
          <cell r="D62" t="str">
            <v>SLOTSAB-JOOS</v>
          </cell>
          <cell r="E62">
            <v>26</v>
          </cell>
        </row>
        <row r="63">
          <cell r="B63" t="str">
            <v>OSCAR SANCHEZ</v>
          </cell>
          <cell r="C63">
            <v>30</v>
          </cell>
          <cell r="D63" t="str">
            <v>SLOTSAB-JOOS</v>
          </cell>
          <cell r="E63">
            <v>26</v>
          </cell>
        </row>
        <row r="64">
          <cell r="B64" t="str">
            <v>FRANCISCO AGUILERA</v>
          </cell>
          <cell r="C64">
            <v>31</v>
          </cell>
          <cell r="D64" t="str">
            <v>RADAR</v>
          </cell>
          <cell r="E64">
            <v>22</v>
          </cell>
        </row>
        <row r="65">
          <cell r="B65" t="str">
            <v>MIGUEL ANGEL AGUILERA</v>
          </cell>
          <cell r="C65">
            <v>31</v>
          </cell>
          <cell r="D65" t="str">
            <v>RADAR</v>
          </cell>
          <cell r="E65">
            <v>22</v>
          </cell>
        </row>
        <row r="66">
          <cell r="B66" t="str">
            <v>SERGI MARTINEZ</v>
          </cell>
          <cell r="C66">
            <v>32</v>
          </cell>
          <cell r="D66" t="str">
            <v>SLOTSAB-JUNIOR</v>
          </cell>
          <cell r="E66">
            <v>24</v>
          </cell>
        </row>
        <row r="67">
          <cell r="B67" t="str">
            <v>VICTOR LEON</v>
          </cell>
          <cell r="C67">
            <v>32</v>
          </cell>
          <cell r="D67" t="str">
            <v>SLOTSAB-JUNIOR</v>
          </cell>
          <cell r="E67">
            <v>24</v>
          </cell>
        </row>
        <row r="68">
          <cell r="B68" t="str">
            <v>JAUME LLOBET</v>
          </cell>
          <cell r="C68">
            <v>33</v>
          </cell>
          <cell r="D68" t="str">
            <v>SLOTFOURMANIA</v>
          </cell>
          <cell r="E68">
            <v>23</v>
          </cell>
        </row>
        <row r="69">
          <cell r="B69" t="str">
            <v>OSCAR VILA</v>
          </cell>
          <cell r="C69">
            <v>33</v>
          </cell>
          <cell r="D69" t="str">
            <v>SLOTFOURMANIA</v>
          </cell>
          <cell r="E69">
            <v>20</v>
          </cell>
        </row>
        <row r="70">
          <cell r="B70" t="str">
            <v>JORDI PALMADA</v>
          </cell>
          <cell r="C70">
            <v>34</v>
          </cell>
          <cell r="D70" t="str">
            <v>DOSLOT GRANOLLERS</v>
          </cell>
          <cell r="E70">
            <v>19</v>
          </cell>
        </row>
        <row r="71">
          <cell r="B71" t="str">
            <v>JORDI MUÑOZ</v>
          </cell>
          <cell r="C71">
            <v>34</v>
          </cell>
          <cell r="D71" t="str">
            <v>DOSLOT GRANOLLERS</v>
          </cell>
          <cell r="E71">
            <v>19</v>
          </cell>
        </row>
        <row r="72">
          <cell r="B72" t="str">
            <v>MIGUEL ANGEL GARCIA</v>
          </cell>
          <cell r="C72">
            <v>35</v>
          </cell>
          <cell r="D72" t="str">
            <v>ESCUDERIA CRONO-1</v>
          </cell>
          <cell r="E72">
            <v>21</v>
          </cell>
        </row>
        <row r="73">
          <cell r="B73" t="str">
            <v>JAVIER MUÑOZ</v>
          </cell>
          <cell r="C73">
            <v>35</v>
          </cell>
          <cell r="D73" t="str">
            <v>ESCUDERIA CRONO-1</v>
          </cell>
          <cell r="E73">
            <v>21</v>
          </cell>
        </row>
        <row r="74">
          <cell r="B74" t="str">
            <v>CARLOS MESTRE</v>
          </cell>
          <cell r="C74">
            <v>36</v>
          </cell>
          <cell r="D74" t="str">
            <v>DREAM SLOT-ANANKE</v>
          </cell>
          <cell r="E74">
            <v>20</v>
          </cell>
        </row>
        <row r="75">
          <cell r="B75" t="str">
            <v>RAIMON ROVELLAT</v>
          </cell>
          <cell r="C75">
            <v>36</v>
          </cell>
          <cell r="D75" t="str">
            <v>DREAM SLOT-ANANKE</v>
          </cell>
          <cell r="E75">
            <v>20</v>
          </cell>
        </row>
        <row r="76">
          <cell r="B76" t="str">
            <v>TONI CASTANYER</v>
          </cell>
          <cell r="C76">
            <v>37</v>
          </cell>
          <cell r="D76" t="str">
            <v>SLOTSAB-CAR</v>
          </cell>
          <cell r="E76">
            <v>19</v>
          </cell>
        </row>
        <row r="77">
          <cell r="B77" t="str">
            <v>RAUL EGEA</v>
          </cell>
          <cell r="C77">
            <v>37</v>
          </cell>
          <cell r="D77" t="str">
            <v>SLOTSAB-CAR</v>
          </cell>
          <cell r="E77">
            <v>19</v>
          </cell>
        </row>
        <row r="78">
          <cell r="B78" t="str">
            <v>RAFAEL MUÑOZ</v>
          </cell>
          <cell r="C78">
            <v>38</v>
          </cell>
          <cell r="D78" t="str">
            <v>ESCUDERIA CRONO-3</v>
          </cell>
          <cell r="E78">
            <v>15</v>
          </cell>
        </row>
        <row r="79">
          <cell r="B79" t="str">
            <v>VICTOR LOPEZ</v>
          </cell>
          <cell r="C79">
            <v>38</v>
          </cell>
          <cell r="D79" t="str">
            <v>ESCUDERIA CRONO-3</v>
          </cell>
          <cell r="E79">
            <v>15</v>
          </cell>
        </row>
        <row r="80">
          <cell r="B80" t="str">
            <v>MARIUS MAGRO</v>
          </cell>
          <cell r="C80">
            <v>39</v>
          </cell>
          <cell r="D80" t="str">
            <v>ESCUDERIA CRONO-2</v>
          </cell>
          <cell r="E80">
            <v>14</v>
          </cell>
        </row>
        <row r="81">
          <cell r="B81" t="str">
            <v>RAUL CABELLO</v>
          </cell>
          <cell r="C81">
            <v>39</v>
          </cell>
          <cell r="D81" t="str">
            <v>ESCUDERIA CRONO-2</v>
          </cell>
          <cell r="E81">
            <v>14</v>
          </cell>
        </row>
        <row r="82">
          <cell r="B82" t="str">
            <v>EDGAR MESTRES</v>
          </cell>
          <cell r="C82">
            <v>40</v>
          </cell>
          <cell r="D82" t="str">
            <v>ACME GRANOLLERS</v>
          </cell>
          <cell r="E82">
            <v>13</v>
          </cell>
        </row>
        <row r="83">
          <cell r="B83" t="str">
            <v>DAVID MESTRES</v>
          </cell>
          <cell r="C83">
            <v>40</v>
          </cell>
          <cell r="D83" t="str">
            <v>ACME GRANOLLERS</v>
          </cell>
          <cell r="E83">
            <v>13</v>
          </cell>
        </row>
      </sheetData>
      <sheetData sheetId="6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VICENS FEBRERO</v>
          </cell>
          <cell r="C6">
            <v>2</v>
          </cell>
          <cell r="D6" t="str">
            <v>SLOT FOR YOU</v>
          </cell>
          <cell r="E6">
            <v>64</v>
          </cell>
        </row>
        <row r="7">
          <cell r="B7" t="str">
            <v>JOEL MENDIZABAL</v>
          </cell>
          <cell r="C7">
            <v>2</v>
          </cell>
          <cell r="D7" t="str">
            <v>SLOT FOR YOU</v>
          </cell>
          <cell r="E7">
            <v>64</v>
          </cell>
        </row>
        <row r="8">
          <cell r="B8" t="str">
            <v>IGNASI BALDOMINOS</v>
          </cell>
          <cell r="C8">
            <v>3</v>
          </cell>
          <cell r="D8" t="str">
            <v>I3D PALAU</v>
          </cell>
          <cell r="E8">
            <v>59</v>
          </cell>
        </row>
        <row r="9">
          <cell r="B9" t="str">
            <v>SECUN RIO</v>
          </cell>
          <cell r="C9">
            <v>3</v>
          </cell>
          <cell r="D9" t="str">
            <v>I3D PALAU</v>
          </cell>
          <cell r="E9">
            <v>59</v>
          </cell>
        </row>
        <row r="10">
          <cell r="B10" t="str">
            <v>VALERI JONAMA</v>
          </cell>
          <cell r="C10">
            <v>4</v>
          </cell>
          <cell r="D10" t="str">
            <v>CRIC-CRAC</v>
          </cell>
          <cell r="E10">
            <v>55</v>
          </cell>
        </row>
        <row r="11">
          <cell r="B11" t="str">
            <v>ISRAEL GOMEZ</v>
          </cell>
          <cell r="C11">
            <v>4</v>
          </cell>
          <cell r="D11" t="str">
            <v>CRIC-CRAC</v>
          </cell>
          <cell r="E11">
            <v>55</v>
          </cell>
        </row>
        <row r="12">
          <cell r="B12" t="str">
            <v>URI CAPDEVILA</v>
          </cell>
          <cell r="C12">
            <v>5</v>
          </cell>
          <cell r="D12" t="str">
            <v>MOMO RALLY</v>
          </cell>
          <cell r="E12">
            <v>52</v>
          </cell>
        </row>
        <row r="13">
          <cell r="B13" t="str">
            <v>GUILLEM ROMERO</v>
          </cell>
          <cell r="C13">
            <v>5</v>
          </cell>
          <cell r="D13" t="str">
            <v>MOMO RALLY</v>
          </cell>
          <cell r="E13">
            <v>52</v>
          </cell>
        </row>
        <row r="14">
          <cell r="B14" t="str">
            <v>ADAM PARERA</v>
          </cell>
          <cell r="C14">
            <v>6</v>
          </cell>
          <cell r="D14" t="str">
            <v>SLOT34YOU</v>
          </cell>
          <cell r="E14">
            <v>50</v>
          </cell>
        </row>
        <row r="15">
          <cell r="B15" t="str">
            <v>JORDI PEREZ</v>
          </cell>
          <cell r="C15">
            <v>6</v>
          </cell>
          <cell r="D15" t="str">
            <v>SLOT34YOU</v>
          </cell>
          <cell r="E15">
            <v>50</v>
          </cell>
        </row>
        <row r="16">
          <cell r="B16" t="str">
            <v>OSCAR CAPEL</v>
          </cell>
          <cell r="C16">
            <v>7</v>
          </cell>
          <cell r="D16" t="str">
            <v>EL SOT-SPORT</v>
          </cell>
          <cell r="E16">
            <v>48</v>
          </cell>
        </row>
        <row r="17">
          <cell r="B17" t="str">
            <v>ALBERT TRAFACH</v>
          </cell>
          <cell r="C17">
            <v>7</v>
          </cell>
          <cell r="D17" t="str">
            <v>EL SOT-SPORT</v>
          </cell>
          <cell r="E17">
            <v>48</v>
          </cell>
        </row>
        <row r="18">
          <cell r="B18" t="str">
            <v>POL GARCIA</v>
          </cell>
          <cell r="C18">
            <v>8</v>
          </cell>
          <cell r="D18" t="str">
            <v>DIT SLOT</v>
          </cell>
          <cell r="E18">
            <v>46</v>
          </cell>
        </row>
        <row r="19">
          <cell r="B19" t="str">
            <v>MARC LANSAC</v>
          </cell>
          <cell r="C19">
            <v>8</v>
          </cell>
          <cell r="D19" t="str">
            <v>DIT SLOT</v>
          </cell>
          <cell r="E19">
            <v>46</v>
          </cell>
        </row>
        <row r="20">
          <cell r="B20" t="str">
            <v>JORDI ROBLES</v>
          </cell>
          <cell r="C20">
            <v>9</v>
          </cell>
          <cell r="D20" t="str">
            <v>EL SOT-FU</v>
          </cell>
          <cell r="E20">
            <v>44</v>
          </cell>
        </row>
        <row r="21">
          <cell r="B21" t="str">
            <v>ALEX ROBLES</v>
          </cell>
          <cell r="C21">
            <v>9</v>
          </cell>
          <cell r="D21" t="str">
            <v>EL SOT-FU</v>
          </cell>
          <cell r="E21">
            <v>44</v>
          </cell>
        </row>
        <row r="22">
          <cell r="B22" t="str">
            <v>ERIC RUIZ</v>
          </cell>
          <cell r="C22">
            <v>10</v>
          </cell>
          <cell r="D22" t="str">
            <v>STP4YOU</v>
          </cell>
          <cell r="E22">
            <v>43</v>
          </cell>
        </row>
        <row r="23">
          <cell r="B23" t="str">
            <v>RICHARD ARREDONDO</v>
          </cell>
          <cell r="C23">
            <v>10</v>
          </cell>
          <cell r="D23" t="str">
            <v>STP4YOU</v>
          </cell>
          <cell r="E23">
            <v>43</v>
          </cell>
        </row>
        <row r="24">
          <cell r="B24" t="str">
            <v>SERGI SALADRIGAS</v>
          </cell>
          <cell r="C24">
            <v>11</v>
          </cell>
          <cell r="D24" t="str">
            <v>SLOT FOR YOU-CUIDADIN</v>
          </cell>
          <cell r="E24">
            <v>42</v>
          </cell>
        </row>
        <row r="25">
          <cell r="B25" t="str">
            <v>MARC CASANOVAS</v>
          </cell>
          <cell r="C25">
            <v>11</v>
          </cell>
          <cell r="D25" t="str">
            <v>SLOT FOR YOU-CUIDADIN</v>
          </cell>
          <cell r="E25">
            <v>42</v>
          </cell>
        </row>
        <row r="26">
          <cell r="B26" t="str">
            <v>JORDI CANYELLES</v>
          </cell>
          <cell r="C26">
            <v>12</v>
          </cell>
          <cell r="D26" t="str">
            <v>HOT SLOT FOR YOU</v>
          </cell>
          <cell r="E26">
            <v>41</v>
          </cell>
        </row>
        <row r="27">
          <cell r="B27" t="str">
            <v>XAVI CORTADA</v>
          </cell>
          <cell r="C27">
            <v>12</v>
          </cell>
          <cell r="D27" t="str">
            <v>HOT SLOT FOR YOU</v>
          </cell>
          <cell r="E27">
            <v>41</v>
          </cell>
        </row>
        <row r="28">
          <cell r="B28" t="str">
            <v>JOSEP Mª SEREROLS</v>
          </cell>
          <cell r="C28">
            <v>13</v>
          </cell>
          <cell r="D28" t="str">
            <v>EL SOT-TEAM</v>
          </cell>
          <cell r="E28">
            <v>40</v>
          </cell>
        </row>
        <row r="29">
          <cell r="B29" t="str">
            <v>EDUARD CERDA</v>
          </cell>
          <cell r="C29">
            <v>13</v>
          </cell>
          <cell r="D29" t="str">
            <v>EL SOT-TEAM</v>
          </cell>
          <cell r="E29">
            <v>40</v>
          </cell>
        </row>
        <row r="30">
          <cell r="B30" t="str">
            <v>JULEN VALBUENA</v>
          </cell>
          <cell r="C30">
            <v>14</v>
          </cell>
          <cell r="D30" t="str">
            <v>ARREPLEGATS</v>
          </cell>
          <cell r="E30">
            <v>39</v>
          </cell>
        </row>
        <row r="31">
          <cell r="B31" t="str">
            <v>GERMA PORTET</v>
          </cell>
          <cell r="C31">
            <v>14</v>
          </cell>
          <cell r="D31" t="str">
            <v>ARREPLEGATS</v>
          </cell>
          <cell r="E31">
            <v>39</v>
          </cell>
        </row>
        <row r="32">
          <cell r="B32" t="str">
            <v>EDUARD GIL</v>
          </cell>
          <cell r="C32">
            <v>15</v>
          </cell>
          <cell r="D32" t="str">
            <v>SLOTMANIA-BIKE</v>
          </cell>
          <cell r="E32">
            <v>38</v>
          </cell>
        </row>
        <row r="33">
          <cell r="B33" t="str">
            <v>ALBERT TOMAS</v>
          </cell>
          <cell r="C33">
            <v>15</v>
          </cell>
          <cell r="D33" t="str">
            <v>SLOTMANIA-BIKE</v>
          </cell>
          <cell r="E33">
            <v>38</v>
          </cell>
        </row>
        <row r="34">
          <cell r="B34" t="str">
            <v>GABRIEL RODRIGUEZ</v>
          </cell>
          <cell r="C34">
            <v>16</v>
          </cell>
          <cell r="D34" t="str">
            <v>AMOTOR RACING</v>
          </cell>
          <cell r="E34">
            <v>37</v>
          </cell>
        </row>
        <row r="35">
          <cell r="B35" t="str">
            <v>IVAN GIMENO</v>
          </cell>
          <cell r="C35">
            <v>16</v>
          </cell>
          <cell r="D35" t="str">
            <v>AMOTOR RACING</v>
          </cell>
          <cell r="E35">
            <v>37</v>
          </cell>
        </row>
        <row r="36">
          <cell r="B36" t="str">
            <v>DAVID IZQUIERDO</v>
          </cell>
          <cell r="C36">
            <v>17</v>
          </cell>
          <cell r="D36" t="str">
            <v>SLOTMANIA-RIDERS</v>
          </cell>
          <cell r="E36">
            <v>36</v>
          </cell>
        </row>
        <row r="37">
          <cell r="B37" t="str">
            <v>SERGI SOLA</v>
          </cell>
          <cell r="C37">
            <v>17</v>
          </cell>
          <cell r="D37" t="str">
            <v>SLOTMANIA-RIDERS</v>
          </cell>
          <cell r="E37">
            <v>36</v>
          </cell>
        </row>
        <row r="38">
          <cell r="B38" t="str">
            <v>ENRIC ILLA</v>
          </cell>
          <cell r="C38">
            <v>18</v>
          </cell>
          <cell r="D38" t="str">
            <v>GRANOLLERS-RACING</v>
          </cell>
          <cell r="E38">
            <v>35</v>
          </cell>
        </row>
        <row r="39">
          <cell r="B39" t="str">
            <v>CARLOS MAÑANES</v>
          </cell>
          <cell r="C39">
            <v>18</v>
          </cell>
          <cell r="D39" t="str">
            <v>GRANOLLERS-RACING</v>
          </cell>
          <cell r="E39">
            <v>35</v>
          </cell>
        </row>
        <row r="40">
          <cell r="B40" t="str">
            <v>ALBERT LOMBARTE</v>
          </cell>
          <cell r="C40">
            <v>19</v>
          </cell>
          <cell r="D40" t="str">
            <v>MORPHEUS PALMARES</v>
          </cell>
          <cell r="E40">
            <v>34</v>
          </cell>
        </row>
        <row r="41">
          <cell r="B41" t="str">
            <v>GERARD MALIVERN</v>
          </cell>
          <cell r="C41">
            <v>19</v>
          </cell>
          <cell r="D41" t="str">
            <v>MORPHEUS PALMARES</v>
          </cell>
          <cell r="E41">
            <v>34</v>
          </cell>
        </row>
        <row r="42">
          <cell r="B42" t="str">
            <v>MANUEL MARQUEZ</v>
          </cell>
          <cell r="C42">
            <v>20</v>
          </cell>
          <cell r="D42" t="str">
            <v>EL SOT-M&amp;M</v>
          </cell>
          <cell r="E42">
            <v>33</v>
          </cell>
        </row>
        <row r="43">
          <cell r="B43" t="str">
            <v>MANEL SORIANO</v>
          </cell>
          <cell r="C43">
            <v>20</v>
          </cell>
          <cell r="D43" t="str">
            <v>EL SOT-M&amp;M</v>
          </cell>
          <cell r="E43">
            <v>33</v>
          </cell>
        </row>
        <row r="44">
          <cell r="B44" t="str">
            <v>SERGI MARTINEZ</v>
          </cell>
          <cell r="C44">
            <v>21</v>
          </cell>
          <cell r="D44" t="str">
            <v>SLOTSAB-JUNIOR</v>
          </cell>
          <cell r="E44">
            <v>32</v>
          </cell>
        </row>
        <row r="45">
          <cell r="B45" t="str">
            <v>VICTOR LEON</v>
          </cell>
          <cell r="C45">
            <v>21</v>
          </cell>
          <cell r="D45" t="str">
            <v>SLOTSAB-JUNIOR</v>
          </cell>
          <cell r="E45">
            <v>32</v>
          </cell>
        </row>
        <row r="46">
          <cell r="B46" t="str">
            <v>PABLO FREGOSI</v>
          </cell>
          <cell r="C46">
            <v>22</v>
          </cell>
          <cell r="D46" t="str">
            <v>EL SOT-WARRIORS</v>
          </cell>
          <cell r="E46">
            <v>31</v>
          </cell>
        </row>
        <row r="47">
          <cell r="B47" t="str">
            <v>DAVID CELAYA</v>
          </cell>
          <cell r="C47">
            <v>22</v>
          </cell>
          <cell r="D47" t="str">
            <v>EL SOT-WARRIORS</v>
          </cell>
          <cell r="E47">
            <v>31</v>
          </cell>
        </row>
        <row r="48">
          <cell r="B48" t="str">
            <v>ISRAEL NEVADO</v>
          </cell>
          <cell r="C48">
            <v>23</v>
          </cell>
          <cell r="D48" t="str">
            <v>DZERO TEAM-PADDOCK</v>
          </cell>
          <cell r="E48">
            <v>30</v>
          </cell>
        </row>
        <row r="49">
          <cell r="B49" t="str">
            <v>VICTOR GONZALEZ</v>
          </cell>
          <cell r="C49">
            <v>23</v>
          </cell>
          <cell r="D49" t="str">
            <v>DZERO TEAM-PADDOCK</v>
          </cell>
          <cell r="E49">
            <v>30</v>
          </cell>
        </row>
        <row r="50">
          <cell r="B50" t="str">
            <v>CARLOS REPISO</v>
          </cell>
          <cell r="C50">
            <v>24</v>
          </cell>
          <cell r="D50" t="str">
            <v>EL SOT-ABARTH</v>
          </cell>
          <cell r="E50">
            <v>29</v>
          </cell>
        </row>
        <row r="51">
          <cell r="B51" t="str">
            <v>VICTOR QUEROL</v>
          </cell>
          <cell r="C51">
            <v>24</v>
          </cell>
          <cell r="D51" t="str">
            <v>EL SOT-ABARTH</v>
          </cell>
          <cell r="E51">
            <v>29</v>
          </cell>
        </row>
        <row r="52">
          <cell r="B52" t="str">
            <v>JOSE MARIA MARTINEZ</v>
          </cell>
          <cell r="C52">
            <v>25</v>
          </cell>
          <cell r="D52" t="str">
            <v>SLOTSAB-JOOS</v>
          </cell>
          <cell r="E52">
            <v>28</v>
          </cell>
        </row>
        <row r="53">
          <cell r="B53" t="str">
            <v>OSCAR SANCHEZ</v>
          </cell>
          <cell r="C53">
            <v>25</v>
          </cell>
          <cell r="D53" t="str">
            <v>SLOTSAB-JOOS</v>
          </cell>
          <cell r="E53">
            <v>28</v>
          </cell>
        </row>
        <row r="54">
          <cell r="B54" t="str">
            <v>FRANCESC LIÑAN</v>
          </cell>
          <cell r="C54">
            <v>26</v>
          </cell>
          <cell r="D54" t="str">
            <v>SLOT FRANJA</v>
          </cell>
          <cell r="E54">
            <v>27</v>
          </cell>
        </row>
        <row r="55">
          <cell r="B55" t="str">
            <v>JAUME LLOBET</v>
          </cell>
          <cell r="C55">
            <v>26</v>
          </cell>
          <cell r="D55" t="str">
            <v>SLOT FRANJA</v>
          </cell>
          <cell r="E55">
            <v>27</v>
          </cell>
        </row>
        <row r="56">
          <cell r="B56" t="str">
            <v>ALBERTO BOLSA</v>
          </cell>
          <cell r="C56">
            <v>27</v>
          </cell>
          <cell r="D56" t="str">
            <v>SENNA SLOT</v>
          </cell>
          <cell r="E56">
            <v>26</v>
          </cell>
        </row>
        <row r="57">
          <cell r="B57" t="str">
            <v>ALFONS BARCELO</v>
          </cell>
          <cell r="C57">
            <v>27</v>
          </cell>
          <cell r="D57" t="str">
            <v>SENNA SLOT</v>
          </cell>
          <cell r="E57">
            <v>26</v>
          </cell>
        </row>
        <row r="58">
          <cell r="B58" t="str">
            <v>ADOLFO CHICO</v>
          </cell>
          <cell r="C58">
            <v>28</v>
          </cell>
          <cell r="D58" t="str">
            <v>SLOT-CAR SRT</v>
          </cell>
          <cell r="E58">
            <v>25</v>
          </cell>
        </row>
        <row r="59">
          <cell r="B59" t="str">
            <v>MARC NOMEN</v>
          </cell>
          <cell r="C59">
            <v>28</v>
          </cell>
          <cell r="D59" t="str">
            <v>SLOT-CAR SRT</v>
          </cell>
          <cell r="E59">
            <v>25</v>
          </cell>
        </row>
        <row r="60">
          <cell r="B60" t="str">
            <v>TONI CASTANYER</v>
          </cell>
          <cell r="C60">
            <v>29</v>
          </cell>
          <cell r="D60" t="str">
            <v>SLOTSAB-CAR</v>
          </cell>
          <cell r="E60">
            <v>24</v>
          </cell>
        </row>
        <row r="61">
          <cell r="B61" t="str">
            <v>RAUL EGEA</v>
          </cell>
          <cell r="C61">
            <v>29</v>
          </cell>
          <cell r="D61" t="str">
            <v>SLOTSAB-CAR</v>
          </cell>
          <cell r="E61">
            <v>24</v>
          </cell>
        </row>
        <row r="62">
          <cell r="B62" t="str">
            <v>OSCAR ALARCON</v>
          </cell>
          <cell r="C62">
            <v>30</v>
          </cell>
          <cell r="D62" t="str">
            <v>GRANOLLERS-BATUA L'OLLA</v>
          </cell>
          <cell r="E62">
            <v>23</v>
          </cell>
        </row>
        <row r="63">
          <cell r="B63" t="str">
            <v>XAVI ARANDA</v>
          </cell>
          <cell r="C63">
            <v>30</v>
          </cell>
          <cell r="D63" t="str">
            <v>GRANOLLERS-BATUA L'OLLA</v>
          </cell>
          <cell r="E63">
            <v>23</v>
          </cell>
        </row>
        <row r="64">
          <cell r="B64" t="str">
            <v>CARLOS MESTRE</v>
          </cell>
          <cell r="C64">
            <v>31</v>
          </cell>
          <cell r="D64" t="str">
            <v>DREAM SLOT-ANANKE</v>
          </cell>
          <cell r="E64">
            <v>22</v>
          </cell>
        </row>
        <row r="65">
          <cell r="B65" t="str">
            <v>RAIMON ROVELLAT</v>
          </cell>
          <cell r="C65">
            <v>31</v>
          </cell>
          <cell r="D65" t="str">
            <v>DREAM SLOT-ANANKE</v>
          </cell>
          <cell r="E65">
            <v>22</v>
          </cell>
        </row>
        <row r="66">
          <cell r="B66" t="str">
            <v>ANGEL NAVARRO</v>
          </cell>
          <cell r="C66">
            <v>32</v>
          </cell>
          <cell r="D66" t="str">
            <v>GASCLAVAT</v>
          </cell>
          <cell r="E66">
            <v>21</v>
          </cell>
        </row>
        <row r="67">
          <cell r="B67" t="str">
            <v>JUAN RAMON MESAS</v>
          </cell>
          <cell r="C67">
            <v>32</v>
          </cell>
          <cell r="D67" t="str">
            <v>GASCLAVAT</v>
          </cell>
          <cell r="E67">
            <v>21</v>
          </cell>
        </row>
        <row r="68">
          <cell r="B68" t="str">
            <v>MIGUEL ANGEL GARCIA</v>
          </cell>
          <cell r="C68">
            <v>33</v>
          </cell>
          <cell r="D68" t="str">
            <v>ESCUDERIA CRONO-1</v>
          </cell>
          <cell r="E68">
            <v>20</v>
          </cell>
        </row>
        <row r="69">
          <cell r="B69" t="str">
            <v>JAVIER MUÑOZ</v>
          </cell>
          <cell r="C69">
            <v>33</v>
          </cell>
          <cell r="D69" t="str">
            <v>ESCUDERIA CRONO-1</v>
          </cell>
          <cell r="E69">
            <v>20</v>
          </cell>
        </row>
        <row r="70">
          <cell r="B70" t="str">
            <v>JORDI PALMADA</v>
          </cell>
          <cell r="C70">
            <v>34</v>
          </cell>
          <cell r="D70" t="str">
            <v>DOSLOT GRANOLLERS</v>
          </cell>
          <cell r="E70">
            <v>19</v>
          </cell>
        </row>
        <row r="71">
          <cell r="B71" t="str">
            <v>JORDI MUÑOZ</v>
          </cell>
          <cell r="C71">
            <v>34</v>
          </cell>
          <cell r="D71" t="str">
            <v>DOSLOT GRANOLLERS</v>
          </cell>
          <cell r="E71">
            <v>19</v>
          </cell>
        </row>
        <row r="72">
          <cell r="B72" t="str">
            <v>EDGAR MESTRES</v>
          </cell>
          <cell r="C72">
            <v>35</v>
          </cell>
          <cell r="D72" t="str">
            <v>ACME GRANOLLERS</v>
          </cell>
          <cell r="E72">
            <v>18</v>
          </cell>
        </row>
        <row r="73">
          <cell r="B73" t="str">
            <v>DAVID MESTRES</v>
          </cell>
          <cell r="C73">
            <v>35</v>
          </cell>
          <cell r="D73" t="str">
            <v>ACME GRANOLLERS</v>
          </cell>
          <cell r="E73">
            <v>18</v>
          </cell>
        </row>
        <row r="74">
          <cell r="B74" t="str">
            <v>RAFAEL MUÑOZ</v>
          </cell>
          <cell r="C74">
            <v>36</v>
          </cell>
          <cell r="D74" t="str">
            <v>ESCUDERIA CRONO-3</v>
          </cell>
          <cell r="E74">
            <v>17</v>
          </cell>
        </row>
        <row r="75">
          <cell r="B75" t="str">
            <v>VICTOR LOPEZ</v>
          </cell>
          <cell r="C75">
            <v>36</v>
          </cell>
          <cell r="D75" t="str">
            <v>ESCUDERIA CRONO-3</v>
          </cell>
          <cell r="E75">
            <v>17</v>
          </cell>
        </row>
        <row r="76">
          <cell r="B76" t="str">
            <v>JORDI SIMO</v>
          </cell>
          <cell r="C76">
            <v>37</v>
          </cell>
          <cell r="D76" t="str">
            <v>DREAM SLOT-ESTEL·LATS</v>
          </cell>
          <cell r="E76">
            <v>16</v>
          </cell>
        </row>
        <row r="77">
          <cell r="B77" t="str">
            <v>CARLES CARREÑO</v>
          </cell>
          <cell r="C77">
            <v>37</v>
          </cell>
          <cell r="D77" t="str">
            <v>DREAM SLOT-ESTEL·LATS</v>
          </cell>
          <cell r="E77">
            <v>16</v>
          </cell>
        </row>
        <row r="78">
          <cell r="B78" t="str">
            <v>ALBERT ATIENZA</v>
          </cell>
          <cell r="C78">
            <v>38</v>
          </cell>
          <cell r="D78" t="str">
            <v>MORPHEUS GASCLAVAT</v>
          </cell>
          <cell r="E78">
            <v>15</v>
          </cell>
        </row>
        <row r="79">
          <cell r="B79" t="str">
            <v>CRISTIAN DIAZ</v>
          </cell>
          <cell r="C79">
            <v>38</v>
          </cell>
          <cell r="D79" t="str">
            <v>MORPHEUS GASCLAVAT</v>
          </cell>
          <cell r="E79">
            <v>15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Inscripcions"/>
      <sheetName val="W-Manegues"/>
      <sheetName val="55555"/>
      <sheetName val="W-CURSA"/>
      <sheetName val="TicTacSlot"/>
      <sheetName val="W-Dades"/>
      <sheetName val="W-PREMIS"/>
      <sheetName val="W-PREMIS (2)"/>
      <sheetName val="GRAL"/>
      <sheetName val="Tablas"/>
    </sheetNames>
    <sheetDataSet>
      <sheetData sheetId="0">
        <row r="9">
          <cell r="C9" t="str">
            <v>EQUIPO</v>
          </cell>
          <cell r="D9" t="str">
            <v>PILOTO</v>
          </cell>
          <cell r="E9" t="str">
            <v>PTOS.</v>
          </cell>
          <cell r="F9" t="str">
            <v>PILOTO</v>
          </cell>
          <cell r="G9" t="str">
            <v>PTOS.</v>
          </cell>
          <cell r="H9" t="str">
            <v>TOTAL</v>
          </cell>
          <cell r="I9" t="str">
            <v>COPA</v>
          </cell>
        </row>
        <row r="10">
          <cell r="C10" t="str">
            <v>CRIC-CRAC</v>
          </cell>
          <cell r="D10" t="str">
            <v>VALERI JONAMA</v>
          </cell>
          <cell r="E10">
            <v>457</v>
          </cell>
          <cell r="F10" t="str">
            <v>ISRAEL GOMEZ</v>
          </cell>
          <cell r="G10">
            <v>457</v>
          </cell>
          <cell r="H10">
            <v>914</v>
          </cell>
          <cell r="J10" t="str">
            <v>CRIC-CRAC</v>
          </cell>
          <cell r="K10">
            <v>1</v>
          </cell>
          <cell r="M10" t="str">
            <v>VALERI JONAMA - ISRAEL GOMEZ</v>
          </cell>
        </row>
        <row r="11">
          <cell r="C11" t="str">
            <v>EL SOT-TEAM</v>
          </cell>
          <cell r="D11" t="str">
            <v>JOSEP Mª SEREROLS</v>
          </cell>
          <cell r="E11">
            <v>428</v>
          </cell>
          <cell r="F11" t="str">
            <v>EDUARD CERDA</v>
          </cell>
          <cell r="G11">
            <v>428</v>
          </cell>
          <cell r="H11">
            <v>856</v>
          </cell>
          <cell r="J11" t="str">
            <v>EL SOT-TEAM</v>
          </cell>
          <cell r="K11">
            <v>1</v>
          </cell>
          <cell r="M11" t="str">
            <v>JOSEP Mª SEREROLS - EDUARD CERDA</v>
          </cell>
        </row>
        <row r="12">
          <cell r="C12" t="str">
            <v>SLOT FOR YOU</v>
          </cell>
          <cell r="D12" t="str">
            <v>VICENS FEBRERO</v>
          </cell>
          <cell r="E12">
            <v>424.5</v>
          </cell>
          <cell r="F12" t="str">
            <v>JOEL MENDIZABAL</v>
          </cell>
          <cell r="G12">
            <v>424.5</v>
          </cell>
          <cell r="H12">
            <v>849</v>
          </cell>
          <cell r="J12" t="str">
            <v>SLOT FOR YOU</v>
          </cell>
          <cell r="K12">
            <v>1</v>
          </cell>
          <cell r="M12" t="str">
            <v>VICENS FEBRERO - JOEL MENDIZABAL</v>
          </cell>
        </row>
        <row r="13">
          <cell r="C13" t="str">
            <v>EL SOT-FU</v>
          </cell>
          <cell r="D13" t="str">
            <v>JORDI ROBLES</v>
          </cell>
          <cell r="E13">
            <v>417.5</v>
          </cell>
          <cell r="F13" t="str">
            <v>ALEX ROBLES</v>
          </cell>
          <cell r="G13">
            <v>417.5</v>
          </cell>
          <cell r="H13">
            <v>835</v>
          </cell>
          <cell r="J13" t="str">
            <v>EL SOT-FU</v>
          </cell>
          <cell r="K13">
            <v>1</v>
          </cell>
          <cell r="M13" t="str">
            <v>JORDI ROBLES - ALEX ROBLES</v>
          </cell>
        </row>
        <row r="14">
          <cell r="C14" t="str">
            <v>HOT SLOT FOR YOU</v>
          </cell>
          <cell r="D14" t="str">
            <v>JORDI CANYELLES</v>
          </cell>
          <cell r="E14">
            <v>362.5</v>
          </cell>
          <cell r="F14" t="str">
            <v>XAVI CORTADA</v>
          </cell>
          <cell r="G14">
            <v>362.5</v>
          </cell>
          <cell r="H14">
            <v>725</v>
          </cell>
          <cell r="J14" t="str">
            <v>HOT SLOT FOR YOU</v>
          </cell>
          <cell r="K14">
            <v>1</v>
          </cell>
          <cell r="M14" t="str">
            <v>JORDI CANYELLES - XAVI CORTADA</v>
          </cell>
        </row>
        <row r="15">
          <cell r="C15" t="str">
            <v>MOMO RALLY</v>
          </cell>
          <cell r="D15" t="str">
            <v>URI CAPDEVILA</v>
          </cell>
          <cell r="E15">
            <v>362</v>
          </cell>
          <cell r="F15" t="str">
            <v>GUILLEM ROMERO</v>
          </cell>
          <cell r="G15">
            <v>362</v>
          </cell>
          <cell r="H15">
            <v>724</v>
          </cell>
          <cell r="J15" t="str">
            <v>MOMO RALLY</v>
          </cell>
          <cell r="K15">
            <v>1</v>
          </cell>
          <cell r="M15" t="str">
            <v>URI CAPDEVILA - GUILLEM ROMERO</v>
          </cell>
        </row>
        <row r="16">
          <cell r="C16" t="str">
            <v>DREAM SLOT-ESTEL·LATS</v>
          </cell>
          <cell r="D16" t="str">
            <v>JORDI SIMO</v>
          </cell>
          <cell r="E16">
            <v>317</v>
          </cell>
          <cell r="F16" t="str">
            <v>CARLES CARREÑO</v>
          </cell>
          <cell r="G16">
            <v>396</v>
          </cell>
          <cell r="H16">
            <v>713</v>
          </cell>
          <cell r="J16" t="str">
            <v>DREAM SLOT-ESTEL·LATS</v>
          </cell>
          <cell r="K16">
            <v>1</v>
          </cell>
          <cell r="M16" t="str">
            <v>JORDI SIMO - CARLES CARREÑO</v>
          </cell>
        </row>
        <row r="17">
          <cell r="C17" t="str">
            <v>SLOT34YOU</v>
          </cell>
          <cell r="D17" t="str">
            <v>ADAM PARERA</v>
          </cell>
          <cell r="E17">
            <v>346.5</v>
          </cell>
          <cell r="F17" t="str">
            <v>JORDI PEREZ</v>
          </cell>
          <cell r="G17">
            <v>346.5</v>
          </cell>
          <cell r="H17">
            <v>693</v>
          </cell>
          <cell r="I17" t="str">
            <v>SCA</v>
          </cell>
          <cell r="J17" t="str">
            <v>SLOT34YOU</v>
          </cell>
          <cell r="K17">
            <v>1</v>
          </cell>
          <cell r="M17" t="str">
            <v>ADAM PARERA - JORDI PEREZ</v>
          </cell>
        </row>
        <row r="18">
          <cell r="C18" t="str">
            <v>SLOTMANIA-RIDERS</v>
          </cell>
          <cell r="D18" t="str">
            <v>DAVID IZQUIERDO</v>
          </cell>
          <cell r="E18">
            <v>338</v>
          </cell>
          <cell r="F18" t="str">
            <v>SERGI SOLA</v>
          </cell>
          <cell r="G18">
            <v>338</v>
          </cell>
          <cell r="H18">
            <v>676</v>
          </cell>
          <cell r="I18" t="str">
            <v>SCA</v>
          </cell>
          <cell r="J18" t="str">
            <v>SLOTMANIA-RIDERS</v>
          </cell>
          <cell r="K18">
            <v>1</v>
          </cell>
          <cell r="M18" t="str">
            <v>DAVID IZQUIERDO - SERGI SOLA</v>
          </cell>
        </row>
        <row r="19">
          <cell r="C19" t="str">
            <v>SLOT FOR YOU-CUIDADIN</v>
          </cell>
          <cell r="D19" t="str">
            <v>SERGI SALADRIGAS</v>
          </cell>
          <cell r="E19">
            <v>330</v>
          </cell>
          <cell r="F19" t="str">
            <v>MARC CASANOVAS</v>
          </cell>
          <cell r="G19">
            <v>330</v>
          </cell>
          <cell r="H19">
            <v>660</v>
          </cell>
          <cell r="I19" t="str">
            <v>SCA</v>
          </cell>
          <cell r="J19" t="str">
            <v>SLOT FOR YOU-CUIDADIN</v>
          </cell>
          <cell r="K19">
            <v>1</v>
          </cell>
          <cell r="M19" t="str">
            <v>SERGI SALADRIGAS - MARC CASANOVAS</v>
          </cell>
        </row>
        <row r="20">
          <cell r="C20" t="str">
            <v>SLOTMANIA-BIKE</v>
          </cell>
          <cell r="D20" t="str">
            <v>EDUARD GIL</v>
          </cell>
          <cell r="E20">
            <v>344.5</v>
          </cell>
          <cell r="F20" t="str">
            <v>ALBERT TOMAS</v>
          </cell>
          <cell r="G20">
            <v>302.5</v>
          </cell>
          <cell r="H20">
            <v>647</v>
          </cell>
          <cell r="J20" t="str">
            <v>SLOTMANIA-BIKE</v>
          </cell>
          <cell r="K20">
            <v>1</v>
          </cell>
          <cell r="M20" t="str">
            <v>EDUARD GIL - ALBERT TOMAS</v>
          </cell>
        </row>
        <row r="21">
          <cell r="C21" t="str">
            <v>EL SOT-SPORT</v>
          </cell>
          <cell r="D21" t="str">
            <v>ALBERT TRAFACH</v>
          </cell>
          <cell r="E21">
            <v>338</v>
          </cell>
          <cell r="F21" t="str">
            <v>OSCAR CAPEL</v>
          </cell>
          <cell r="G21">
            <v>298</v>
          </cell>
          <cell r="H21">
            <v>636</v>
          </cell>
          <cell r="J21" t="str">
            <v>EL SOT-SPORT</v>
          </cell>
          <cell r="K21">
            <v>1</v>
          </cell>
          <cell r="M21" t="str">
            <v>ALBERT TRAFACH - OSCAR CAPEL</v>
          </cell>
        </row>
        <row r="22">
          <cell r="C22" t="str">
            <v>ARREPLEGATS</v>
          </cell>
          <cell r="D22" t="str">
            <v>GERMA PORTET</v>
          </cell>
          <cell r="E22">
            <v>262</v>
          </cell>
          <cell r="F22" t="str">
            <v>MARC LANSAC</v>
          </cell>
          <cell r="G22">
            <v>341.5</v>
          </cell>
          <cell r="H22">
            <v>603.5</v>
          </cell>
          <cell r="J22" t="str">
            <v>ARREPLEGATS</v>
          </cell>
          <cell r="K22">
            <v>1</v>
          </cell>
          <cell r="M22" t="str">
            <v>GERMA PORTET - MARC LANSAC</v>
          </cell>
        </row>
        <row r="23">
          <cell r="C23" t="str">
            <v>STP-RACING</v>
          </cell>
          <cell r="D23" t="str">
            <v>RICHARD ARREDONDO</v>
          </cell>
          <cell r="E23">
            <v>325</v>
          </cell>
          <cell r="F23" t="str">
            <v>GABRIEL RODRIGUEZ</v>
          </cell>
          <cell r="G23">
            <v>274</v>
          </cell>
          <cell r="H23">
            <v>599</v>
          </cell>
          <cell r="J23" t="str">
            <v>STP-RACING</v>
          </cell>
          <cell r="K23">
            <v>1</v>
          </cell>
          <cell r="M23" t="str">
            <v>RICHARD ARREDONDO - GABRIEL RODRIGUEZ</v>
          </cell>
        </row>
        <row r="24">
          <cell r="C24" t="str">
            <v>DZERO TEAM-PADDOCK</v>
          </cell>
          <cell r="D24" t="str">
            <v>ISRAEL NEVADO</v>
          </cell>
          <cell r="E24">
            <v>274</v>
          </cell>
          <cell r="F24" t="str">
            <v>VICTOR GONZALEZ</v>
          </cell>
          <cell r="G24">
            <v>274</v>
          </cell>
          <cell r="H24">
            <v>548</v>
          </cell>
          <cell r="I24" t="str">
            <v>GT2</v>
          </cell>
          <cell r="J24" t="str">
            <v>DZERO TEAM-PADDOCK</v>
          </cell>
          <cell r="K24">
            <v>1</v>
          </cell>
          <cell r="M24" t="str">
            <v>ISRAEL NEVADO - VICTOR GONZALEZ</v>
          </cell>
        </row>
        <row r="25">
          <cell r="C25" t="str">
            <v>SLOTSAB-JUNIOR</v>
          </cell>
          <cell r="D25" t="str">
            <v>SERGI MARTINEZ</v>
          </cell>
          <cell r="E25">
            <v>270.5</v>
          </cell>
          <cell r="F25" t="str">
            <v>VICTOR LEON</v>
          </cell>
          <cell r="G25">
            <v>270.5</v>
          </cell>
          <cell r="H25">
            <v>541</v>
          </cell>
          <cell r="I25" t="str">
            <v>SCA</v>
          </cell>
          <cell r="J25" t="str">
            <v>SLOTSAB-JUNIOR</v>
          </cell>
          <cell r="K25">
            <v>1</v>
          </cell>
          <cell r="M25" t="str">
            <v>SERGI MARTINEZ - VICTOR LEON</v>
          </cell>
        </row>
        <row r="26">
          <cell r="C26" t="str">
            <v>GASCLAVAT</v>
          </cell>
          <cell r="D26" t="str">
            <v>JUAN RAMON MESAS</v>
          </cell>
          <cell r="E26">
            <v>203</v>
          </cell>
          <cell r="F26" t="str">
            <v>ANGEL NAVARRO</v>
          </cell>
          <cell r="G26">
            <v>203</v>
          </cell>
          <cell r="H26">
            <v>406</v>
          </cell>
          <cell r="I26" t="str">
            <v>SCA</v>
          </cell>
          <cell r="J26" t="str">
            <v>GASCLAVAT</v>
          </cell>
          <cell r="K26">
            <v>1</v>
          </cell>
          <cell r="M26" t="str">
            <v>JUAN RAMON MESAS - ANGEL NAVARRO</v>
          </cell>
        </row>
        <row r="27">
          <cell r="C27" t="str">
            <v>EL SOT-M&amp;M</v>
          </cell>
          <cell r="D27" t="str">
            <v>MANUEL MARQUEZ</v>
          </cell>
          <cell r="E27">
            <v>169.5</v>
          </cell>
          <cell r="F27" t="str">
            <v>MANEL SORIANO</v>
          </cell>
          <cell r="G27">
            <v>203.5</v>
          </cell>
          <cell r="H27">
            <v>373</v>
          </cell>
          <cell r="I27" t="str">
            <v>GT2</v>
          </cell>
          <cell r="J27" t="str">
            <v>EL SOT-M&amp;M</v>
          </cell>
          <cell r="K27">
            <v>1</v>
          </cell>
          <cell r="M27" t="str">
            <v>MANUEL MARQUEZ - MANEL SORIANO</v>
          </cell>
        </row>
        <row r="28">
          <cell r="C28" t="str">
            <v>GRANOLLERS-BATUA L'OLLA</v>
          </cell>
          <cell r="D28" t="str">
            <v>OSCAR ALARCON</v>
          </cell>
          <cell r="E28">
            <v>178</v>
          </cell>
          <cell r="F28" t="str">
            <v>XAVI ARANDA</v>
          </cell>
          <cell r="G28">
            <v>178</v>
          </cell>
          <cell r="H28">
            <v>356</v>
          </cell>
          <cell r="I28" t="str">
            <v>GT2</v>
          </cell>
          <cell r="J28" t="str">
            <v>GRANOLLERS-BATUA L'OLLA</v>
          </cell>
          <cell r="K28">
            <v>1</v>
          </cell>
          <cell r="M28" t="str">
            <v>OSCAR ALARCON - XAVI ARANDA</v>
          </cell>
        </row>
        <row r="29">
          <cell r="C29" t="str">
            <v>SLOTFOURMANIA</v>
          </cell>
          <cell r="D29" t="str">
            <v>JAUME LLOBET</v>
          </cell>
          <cell r="E29">
            <v>186</v>
          </cell>
          <cell r="F29" t="str">
            <v>OSCAR VILA</v>
          </cell>
          <cell r="G29">
            <v>156</v>
          </cell>
          <cell r="H29">
            <v>342</v>
          </cell>
          <cell r="I29" t="str">
            <v>GT2</v>
          </cell>
          <cell r="J29" t="str">
            <v>SLOTFOURMANIA</v>
          </cell>
          <cell r="K29">
            <v>1</v>
          </cell>
          <cell r="M29" t="str">
            <v>JAUME LLOBET - OSCAR VILA</v>
          </cell>
        </row>
        <row r="30">
          <cell r="C30" t="str">
            <v>ACTUALSLOT</v>
          </cell>
          <cell r="D30" t="str">
            <v>DAVID MERCADER</v>
          </cell>
          <cell r="E30" t="str">
            <v/>
          </cell>
          <cell r="F30" t="str">
            <v>JORDI RIEROLA</v>
          </cell>
          <cell r="G30">
            <v>264.5</v>
          </cell>
          <cell r="H30">
            <v>264.5</v>
          </cell>
          <cell r="J30" t="str">
            <v>******* NUEVO *******</v>
          </cell>
          <cell r="K30">
            <v>1</v>
          </cell>
          <cell r="M30" t="str">
            <v>DAVID MERCADER - JORDI RIEROLA</v>
          </cell>
        </row>
        <row r="31">
          <cell r="C31" t="str">
            <v>RADAR</v>
          </cell>
          <cell r="D31" t="str">
            <v>FRANCISCO AGUILERA</v>
          </cell>
          <cell r="E31">
            <v>128</v>
          </cell>
          <cell r="F31" t="str">
            <v>MIGUEL ANGEL AGUILERA</v>
          </cell>
          <cell r="G31">
            <v>128</v>
          </cell>
          <cell r="H31">
            <v>256</v>
          </cell>
          <cell r="I31" t="str">
            <v>GT2</v>
          </cell>
          <cell r="J31" t="str">
            <v>RADAR</v>
          </cell>
          <cell r="K31">
            <v>0</v>
          </cell>
          <cell r="M31" t="str">
            <v>FRANCISCO AGUILERA - MIGUEL ANGEL AGUILERA</v>
          </cell>
        </row>
        <row r="32">
          <cell r="C32" t="str">
            <v>ESCUDERIA CRONO-3</v>
          </cell>
          <cell r="D32" t="str">
            <v>RAFAEL MUÑOZ</v>
          </cell>
          <cell r="E32">
            <v>103</v>
          </cell>
          <cell r="F32" t="str">
            <v>VICTOR LOPEZ</v>
          </cell>
          <cell r="G32">
            <v>78</v>
          </cell>
          <cell r="H32">
            <v>181</v>
          </cell>
          <cell r="I32" t="str">
            <v>GT2</v>
          </cell>
          <cell r="J32" t="str">
            <v>ESCUDERIA CRONO-3</v>
          </cell>
          <cell r="K32">
            <v>1</v>
          </cell>
          <cell r="M32" t="str">
            <v>RAFAEL MUÑOZ - VICTOR LOPEZ</v>
          </cell>
        </row>
        <row r="33">
          <cell r="C33" t="str">
            <v>EL SOT</v>
          </cell>
          <cell r="D33" t="str">
            <v>JORGE VALDIVIESO</v>
          </cell>
          <cell r="E33">
            <v>34</v>
          </cell>
          <cell r="F33" t="str">
            <v>ALBERTO BOLSA</v>
          </cell>
          <cell r="G33">
            <v>112.5</v>
          </cell>
          <cell r="H33">
            <v>146.5</v>
          </cell>
          <cell r="I33" t="str">
            <v>GT2</v>
          </cell>
          <cell r="J33" t="str">
            <v>******* NUEVO *******</v>
          </cell>
          <cell r="K33">
            <v>1</v>
          </cell>
          <cell r="M33" t="str">
            <v>JORGE VALDIVIESO - ALBERTO BOLSA</v>
          </cell>
        </row>
        <row r="34">
          <cell r="C34" t="str">
            <v>MORPHEUS GASCLAVAT</v>
          </cell>
          <cell r="D34" t="str">
            <v>XAVIER BELLOT</v>
          </cell>
          <cell r="E34" t="str">
            <v/>
          </cell>
          <cell r="F34" t="str">
            <v>CRISTIAN DIAZ</v>
          </cell>
          <cell r="G34">
            <v>113</v>
          </cell>
          <cell r="H34">
            <v>113</v>
          </cell>
          <cell r="I34" t="str">
            <v>GT2</v>
          </cell>
          <cell r="J34" t="str">
            <v>MORPHEUS GASCLAVAT</v>
          </cell>
          <cell r="K34">
            <v>1</v>
          </cell>
          <cell r="M34" t="str">
            <v>XAVIER BELLOT - CRISTIAN DIAZ</v>
          </cell>
        </row>
        <row r="35">
          <cell r="C35" t="str">
            <v>GASCLAVAT-3</v>
          </cell>
          <cell r="D35" t="str">
            <v>FIDEL SOLER</v>
          </cell>
          <cell r="E35" t="str">
            <v/>
          </cell>
          <cell r="F35" t="str">
            <v>JESUS JODAR</v>
          </cell>
          <cell r="G35" t="str">
            <v/>
          </cell>
          <cell r="H35">
            <v>0</v>
          </cell>
          <cell r="I35" t="str">
            <v>GT2</v>
          </cell>
          <cell r="J35" t="str">
            <v>******* NUEVO *******</v>
          </cell>
          <cell r="K35">
            <v>1</v>
          </cell>
          <cell r="M35" t="str">
            <v>FIDEL SOLER - JESUS JODAR</v>
          </cell>
        </row>
        <row r="36">
          <cell r="C36" t="str">
            <v>GASCLAVAT-4</v>
          </cell>
          <cell r="D36" t="str">
            <v>ANDREU MARTIN</v>
          </cell>
          <cell r="E36" t="str">
            <v/>
          </cell>
          <cell r="F36" t="str">
            <v>ALBERT CASTELLAR</v>
          </cell>
          <cell r="G36" t="str">
            <v/>
          </cell>
          <cell r="H36">
            <v>0</v>
          </cell>
          <cell r="I36" t="str">
            <v>GT2</v>
          </cell>
          <cell r="J36" t="str">
            <v>******* NUEVO *******</v>
          </cell>
          <cell r="K36">
            <v>1</v>
          </cell>
          <cell r="M36" t="str">
            <v>ANDREU MARTIN - ALBERT CASTELLAR</v>
          </cell>
        </row>
        <row r="37">
          <cell r="C37" t="str">
            <v>GASCLAVAT-JUNIORS</v>
          </cell>
          <cell r="D37" t="str">
            <v>MARC CLIMENT</v>
          </cell>
          <cell r="E37" t="str">
            <v/>
          </cell>
          <cell r="F37" t="str">
            <v>ARNAU NAVARRO</v>
          </cell>
          <cell r="G37" t="str">
            <v/>
          </cell>
          <cell r="H37">
            <v>0</v>
          </cell>
          <cell r="I37" t="str">
            <v>GT2</v>
          </cell>
          <cell r="J37" t="str">
            <v>******* NUEVO *******</v>
          </cell>
          <cell r="K37">
            <v>1</v>
          </cell>
          <cell r="M37" t="str">
            <v>MARC CLIMENT - ARNAU NAVARRO</v>
          </cell>
        </row>
        <row r="39">
          <cell r="J39" t="str">
            <v>TOTAL EQUIPS EN MÀNEGUES:</v>
          </cell>
          <cell r="K39">
            <v>27</v>
          </cell>
        </row>
        <row r="43">
          <cell r="C43" t="str">
            <v>SLOTMANIA-MOMO</v>
          </cell>
          <cell r="D43" t="str">
            <v>JOSEP Mª MOLINS</v>
          </cell>
          <cell r="E43">
            <v>210</v>
          </cell>
          <cell r="F43" t="str">
            <v>BESAY PORTA</v>
          </cell>
          <cell r="G43">
            <v>210</v>
          </cell>
          <cell r="H43">
            <v>420</v>
          </cell>
        </row>
        <row r="44">
          <cell r="C44" t="str">
            <v>STP-ARREPLEGATS</v>
          </cell>
          <cell r="D44" t="str">
            <v>JULEN VALBUENA</v>
          </cell>
          <cell r="E44">
            <v>134</v>
          </cell>
          <cell r="F44" t="str">
            <v>RICHARD ARREDONDO</v>
          </cell>
          <cell r="G44">
            <v>151</v>
          </cell>
          <cell r="H44">
            <v>285</v>
          </cell>
        </row>
        <row r="45">
          <cell r="C45" t="str">
            <v>EL SOT-WARRIORS</v>
          </cell>
          <cell r="D45" t="str">
            <v>PABLO FREGOSI</v>
          </cell>
          <cell r="E45">
            <v>104</v>
          </cell>
          <cell r="F45" t="str">
            <v>DAVID CELAYA</v>
          </cell>
          <cell r="G45">
            <v>104</v>
          </cell>
          <cell r="H45">
            <v>208</v>
          </cell>
        </row>
        <row r="46">
          <cell r="C46" t="str">
            <v>DIT SLOT</v>
          </cell>
          <cell r="D46" t="str">
            <v>POL GARCIA</v>
          </cell>
          <cell r="E46">
            <v>103</v>
          </cell>
          <cell r="F46" t="str">
            <v>MARC LANSAC</v>
          </cell>
          <cell r="G46">
            <v>103</v>
          </cell>
          <cell r="H46">
            <v>206</v>
          </cell>
          <cell r="I46" t="str">
            <v>SCA</v>
          </cell>
        </row>
        <row r="47">
          <cell r="C47" t="str">
            <v>AMOTOR RACING</v>
          </cell>
          <cell r="D47" t="str">
            <v>GABRIEL RODRIGUEZ</v>
          </cell>
          <cell r="E47">
            <v>102</v>
          </cell>
          <cell r="F47" t="str">
            <v>IVAN GIMENO</v>
          </cell>
          <cell r="G47">
            <v>102</v>
          </cell>
          <cell r="H47">
            <v>204</v>
          </cell>
        </row>
        <row r="48">
          <cell r="C48" t="str">
            <v>SLOT-CAR SRT</v>
          </cell>
          <cell r="D48" t="str">
            <v>ADOLFO CHICO</v>
          </cell>
          <cell r="E48">
            <v>96</v>
          </cell>
          <cell r="F48" t="str">
            <v>MARC NOMEN</v>
          </cell>
          <cell r="G48">
            <v>96</v>
          </cell>
          <cell r="H48">
            <v>192</v>
          </cell>
        </row>
        <row r="49">
          <cell r="C49" t="str">
            <v>SLOTSAB-CAR</v>
          </cell>
          <cell r="D49" t="str">
            <v>TONI CASTANYER</v>
          </cell>
          <cell r="E49">
            <v>64</v>
          </cell>
          <cell r="F49" t="str">
            <v>RAUL EGEA</v>
          </cell>
          <cell r="G49">
            <v>64</v>
          </cell>
          <cell r="H49">
            <v>128</v>
          </cell>
          <cell r="I49" t="str">
            <v>SCA</v>
          </cell>
        </row>
        <row r="50">
          <cell r="C50" t="str">
            <v>DOSLOT GRANOLLERS</v>
          </cell>
          <cell r="D50" t="str">
            <v>JORDI PALMADA</v>
          </cell>
          <cell r="E50">
            <v>63</v>
          </cell>
          <cell r="F50" t="str">
            <v>JORDI MUÑOZ</v>
          </cell>
          <cell r="G50">
            <v>63</v>
          </cell>
          <cell r="H50">
            <v>126</v>
          </cell>
          <cell r="I50" t="str">
            <v>GT2</v>
          </cell>
        </row>
        <row r="51">
          <cell r="C51" t="str">
            <v>SLOTMANIA</v>
          </cell>
          <cell r="D51" t="str">
            <v>RUBEN SANCHEZ</v>
          </cell>
          <cell r="E51" t="str">
            <v/>
          </cell>
          <cell r="F51" t="str">
            <v>MARC GARCIA</v>
          </cell>
          <cell r="G51">
            <v>71</v>
          </cell>
          <cell r="H51">
            <v>71</v>
          </cell>
        </row>
        <row r="52">
          <cell r="C52" t="str">
            <v>SLOT LEGO</v>
          </cell>
          <cell r="D52" t="str">
            <v>LORENZO LERA</v>
          </cell>
          <cell r="E52" t="str">
            <v/>
          </cell>
          <cell r="F52" t="str">
            <v>GERARD FARRES</v>
          </cell>
          <cell r="G52" t="str">
            <v/>
          </cell>
          <cell r="H52">
            <v>0</v>
          </cell>
          <cell r="I52" t="str">
            <v>GT2</v>
          </cell>
        </row>
        <row r="53">
          <cell r="C53" t="str">
            <v>STP4YOU</v>
          </cell>
          <cell r="D53" t="str">
            <v>ERIC RUIZ</v>
          </cell>
          <cell r="E53">
            <v>107</v>
          </cell>
          <cell r="F53" t="str">
            <v>RICHARD ARREDONDO</v>
          </cell>
          <cell r="G53">
            <v>107</v>
          </cell>
          <cell r="H53">
            <v>214</v>
          </cell>
        </row>
        <row r="54">
          <cell r="C54" t="str">
            <v>EL SOT-ABARTH</v>
          </cell>
          <cell r="D54" t="str">
            <v>CARLOS REPISO</v>
          </cell>
          <cell r="E54">
            <v>65</v>
          </cell>
          <cell r="F54" t="str">
            <v>VICTOR QUEROL</v>
          </cell>
          <cell r="G54">
            <v>65</v>
          </cell>
          <cell r="H54">
            <v>130</v>
          </cell>
          <cell r="I54" t="str">
            <v>SCA</v>
          </cell>
        </row>
        <row r="55">
          <cell r="C55" t="str">
            <v>SENNA SLOT</v>
          </cell>
          <cell r="D55" t="str">
            <v>ALBERTO BOLSA</v>
          </cell>
          <cell r="E55">
            <v>54</v>
          </cell>
          <cell r="F55" t="str">
            <v>ALFONS BARCELO</v>
          </cell>
          <cell r="G55">
            <v>54</v>
          </cell>
          <cell r="H55">
            <v>108</v>
          </cell>
          <cell r="I55" t="str">
            <v>SCA</v>
          </cell>
        </row>
        <row r="56">
          <cell r="C56" t="str">
            <v>DREAM SLOT-ANANKE</v>
          </cell>
          <cell r="D56" t="str">
            <v>CARLOS MESTRE</v>
          </cell>
          <cell r="E56">
            <v>42</v>
          </cell>
          <cell r="F56" t="str">
            <v>RAIMON ROVELLAT</v>
          </cell>
          <cell r="G56">
            <v>42</v>
          </cell>
          <cell r="H56">
            <v>84</v>
          </cell>
          <cell r="I56" t="str">
            <v>GT2</v>
          </cell>
        </row>
        <row r="57">
          <cell r="C57" t="str">
            <v>DREAM SLOT-2</v>
          </cell>
          <cell r="D57" t="str">
            <v>MARC GARCIA</v>
          </cell>
          <cell r="E57">
            <v>40</v>
          </cell>
          <cell r="F57" t="str">
            <v>JORDI RIEROLA</v>
          </cell>
          <cell r="G57">
            <v>40</v>
          </cell>
          <cell r="H57">
            <v>80</v>
          </cell>
          <cell r="I57" t="str">
            <v>SCA</v>
          </cell>
        </row>
        <row r="58">
          <cell r="C58" t="str">
            <v>EL SOT-HORTA</v>
          </cell>
          <cell r="D58" t="str">
            <v>MIQUEL BONAVIDA</v>
          </cell>
          <cell r="E58" t="str">
            <v/>
          </cell>
          <cell r="F58" t="str">
            <v>FRANCESC LIÑAN</v>
          </cell>
          <cell r="G58">
            <v>27</v>
          </cell>
          <cell r="H58">
            <v>27</v>
          </cell>
        </row>
        <row r="59">
          <cell r="C59" t="str">
            <v>EL SOT-RACE</v>
          </cell>
          <cell r="D59" t="str">
            <v>LORENZO RODRIGUEZ</v>
          </cell>
          <cell r="E59" t="str">
            <v/>
          </cell>
          <cell r="F59" t="str">
            <v>ANGEL BROCEÑO</v>
          </cell>
          <cell r="G59" t="str">
            <v/>
          </cell>
          <cell r="H59">
            <v>0</v>
          </cell>
        </row>
        <row r="60">
          <cell r="C60" t="str">
            <v>MORPHEUS PALMARES</v>
          </cell>
          <cell r="D60" t="str">
            <v>ALBERT LOMBARTE</v>
          </cell>
          <cell r="E60">
            <v>85</v>
          </cell>
          <cell r="F60" t="str">
            <v>GERARD MALIVERN</v>
          </cell>
          <cell r="G60">
            <v>85</v>
          </cell>
          <cell r="H60">
            <v>170</v>
          </cell>
        </row>
        <row r="61">
          <cell r="C61" t="str">
            <v>ACME GRANOLLERS</v>
          </cell>
          <cell r="D61" t="str">
            <v>EDGAR MESTRES</v>
          </cell>
          <cell r="E61">
            <v>31</v>
          </cell>
          <cell r="F61" t="str">
            <v>DAVID MESTRES</v>
          </cell>
          <cell r="G61">
            <v>31</v>
          </cell>
          <cell r="H61">
            <v>62</v>
          </cell>
          <cell r="I61" t="str">
            <v>GT2</v>
          </cell>
        </row>
        <row r="62">
          <cell r="C62" t="str">
            <v>EL SOT-WARRIORS</v>
          </cell>
          <cell r="D62" t="str">
            <v>DAVID CELAYA</v>
          </cell>
          <cell r="E62">
            <v>246.5</v>
          </cell>
          <cell r="F62" t="str">
            <v>PABLO FREGOSI</v>
          </cell>
          <cell r="G62">
            <v>224</v>
          </cell>
          <cell r="H62">
            <v>470.5</v>
          </cell>
        </row>
        <row r="63">
          <cell r="C63" t="str">
            <v>GRANOLLERS-SPORT</v>
          </cell>
          <cell r="D63" t="str">
            <v>ENRIC ILLA</v>
          </cell>
          <cell r="E63">
            <v>172</v>
          </cell>
          <cell r="F63" t="str">
            <v>MIKEL LOVE</v>
          </cell>
          <cell r="G63">
            <v>52</v>
          </cell>
          <cell r="H63">
            <v>224</v>
          </cell>
        </row>
      </sheetData>
      <sheetData sheetId="1" refreshError="1"/>
      <sheetData sheetId="2">
        <row r="3">
          <cell r="B3" t="str">
            <v>TEAMS COUNT: # 27 #</v>
          </cell>
        </row>
        <row r="4">
          <cell r="U4" t="str">
            <v>CHASIS</v>
          </cell>
        </row>
        <row r="5">
          <cell r="B5" t="str">
            <v>TEAM - MANNSCHAFT    # 6 #</v>
          </cell>
          <cell r="C5" t="str">
            <v>PILOTOS</v>
          </cell>
          <cell r="D5" t="str">
            <v>PTS</v>
          </cell>
          <cell r="E5" t="str">
            <v>ORD</v>
          </cell>
          <cell r="F5" t="str">
            <v>LANE</v>
          </cell>
          <cell r="G5" t="str">
            <v>COCHE</v>
          </cell>
          <cell r="H5" t="str">
            <v>MOT</v>
          </cell>
          <cell r="I5" t="str">
            <v>PIÑON</v>
          </cell>
          <cell r="J5" t="str">
            <v>CORONA</v>
          </cell>
          <cell r="K5" t="str">
            <v>REL</v>
          </cell>
          <cell r="L5" t="str">
            <v>LL. DEL</v>
          </cell>
          <cell r="M5" t="str">
            <v>DIM-MAT</v>
          </cell>
          <cell r="N5" t="str">
            <v>LL. TRA</v>
          </cell>
          <cell r="O5" t="str">
            <v>DIM-MAT</v>
          </cell>
          <cell r="P5" t="str">
            <v>PESO</v>
          </cell>
          <cell r="Q5" t="str">
            <v>MIN W.</v>
          </cell>
          <cell r="R5" t="str">
            <v>TRENCILLAS</v>
          </cell>
          <cell r="S5" t="str">
            <v>SUSP.</v>
          </cell>
          <cell r="T5" t="str">
            <v>BANCADA</v>
          </cell>
          <cell r="U5" t="str">
            <v>MARCA</v>
          </cell>
          <cell r="V5" t="str">
            <v>MOD</v>
          </cell>
          <cell r="W5" t="str">
            <v>COLOR</v>
          </cell>
          <cell r="X5" t="str">
            <v>NEUM.</v>
          </cell>
          <cell r="Y5" t="str">
            <v>OBS. VERIFICACIONES</v>
          </cell>
          <cell r="Z5" t="str">
            <v>Manga</v>
          </cell>
          <cell r="AA5" t="str">
            <v>COPA</v>
          </cell>
        </row>
        <row r="6">
          <cell r="B6" t="str">
            <v>MOMO RALLY</v>
          </cell>
          <cell r="C6" t="str">
            <v>URI CAPDEVILA - GUILLEM ROMERO</v>
          </cell>
          <cell r="D6">
            <v>724</v>
          </cell>
          <cell r="E6">
            <v>1</v>
          </cell>
          <cell r="F6">
            <v>5</v>
          </cell>
          <cell r="G6" t="str">
            <v>LMSGT3</v>
          </cell>
          <cell r="H6">
            <v>19</v>
          </cell>
          <cell r="I6" t="str">
            <v>MB</v>
          </cell>
          <cell r="J6" t="str">
            <v>SIT</v>
          </cell>
          <cell r="K6" t="str">
            <v>12_28</v>
          </cell>
          <cell r="L6" t="str">
            <v>SCA</v>
          </cell>
          <cell r="M6" t="str">
            <v>15,8X8 AL</v>
          </cell>
          <cell r="N6" t="str">
            <v>SLP</v>
          </cell>
          <cell r="O6" t="str">
            <v>16,5X10 AL</v>
          </cell>
          <cell r="P6">
            <v>18.55</v>
          </cell>
          <cell r="Q6">
            <v>17</v>
          </cell>
          <cell r="R6" t="str">
            <v>SIT</v>
          </cell>
          <cell r="S6" t="str">
            <v>0-M-I</v>
          </cell>
          <cell r="T6" t="str">
            <v>SCA1</v>
          </cell>
          <cell r="U6" t="str">
            <v>SIT</v>
          </cell>
          <cell r="V6" t="str">
            <v>PROPIO</v>
          </cell>
          <cell r="W6" t="str">
            <v>BLANCO</v>
          </cell>
          <cell r="Z6">
            <v>1</v>
          </cell>
          <cell r="AA6" t="str">
            <v>GR.3</v>
          </cell>
        </row>
        <row r="7">
          <cell r="C7" t="str">
            <v>--</v>
          </cell>
          <cell r="D7" t="str">
            <v>--</v>
          </cell>
          <cell r="E7" t="str">
            <v>--</v>
          </cell>
          <cell r="K7" t="str">
            <v/>
          </cell>
          <cell r="Q7" t="str">
            <v/>
          </cell>
          <cell r="Z7">
            <v>1</v>
          </cell>
          <cell r="AA7" t="str">
            <v/>
          </cell>
        </row>
        <row r="8">
          <cell r="B8" t="str">
            <v>EL SOT-M&amp;M</v>
          </cell>
          <cell r="C8" t="str">
            <v>MANUEL MARQUEZ - MANEL SORIANO</v>
          </cell>
          <cell r="D8">
            <v>373</v>
          </cell>
          <cell r="E8">
            <v>2</v>
          </cell>
          <cell r="F8">
            <v>3</v>
          </cell>
          <cell r="G8" t="str">
            <v>PORSCHE</v>
          </cell>
          <cell r="H8">
            <v>5</v>
          </cell>
          <cell r="I8" t="str">
            <v>SIT</v>
          </cell>
          <cell r="J8" t="str">
            <v>SIT</v>
          </cell>
          <cell r="K8" t="str">
            <v>12_30</v>
          </cell>
          <cell r="L8" t="str">
            <v>SIT</v>
          </cell>
          <cell r="M8" t="str">
            <v>15,8X8 PL</v>
          </cell>
          <cell r="N8" t="str">
            <v>SLP</v>
          </cell>
          <cell r="O8" t="str">
            <v>17,3X10 AL</v>
          </cell>
          <cell r="P8">
            <v>15.55</v>
          </cell>
          <cell r="Q8">
            <v>15.5</v>
          </cell>
          <cell r="R8" t="str">
            <v>MB</v>
          </cell>
          <cell r="S8" t="str">
            <v>0-M-M</v>
          </cell>
          <cell r="T8" t="str">
            <v>SIT05</v>
          </cell>
          <cell r="U8" t="str">
            <v>SIT</v>
          </cell>
          <cell r="V8" t="str">
            <v>PROPIO</v>
          </cell>
          <cell r="W8" t="str">
            <v>NEGRO</v>
          </cell>
          <cell r="Z8">
            <v>1</v>
          </cell>
          <cell r="AA8" t="str">
            <v>GT2</v>
          </cell>
        </row>
        <row r="9">
          <cell r="B9" t="str">
            <v>SLOTFOURMANIA</v>
          </cell>
          <cell r="C9" t="str">
            <v>JAUME LLOBET - OSCAR VILA</v>
          </cell>
          <cell r="D9">
            <v>342</v>
          </cell>
          <cell r="E9">
            <v>3</v>
          </cell>
          <cell r="F9">
            <v>1</v>
          </cell>
          <cell r="G9" t="str">
            <v>VIPER</v>
          </cell>
          <cell r="H9">
            <v>7</v>
          </cell>
          <cell r="I9" t="str">
            <v>SCA</v>
          </cell>
          <cell r="J9" t="str">
            <v>SIT</v>
          </cell>
          <cell r="K9" t="str">
            <v>12_30</v>
          </cell>
          <cell r="L9" t="str">
            <v>SLP</v>
          </cell>
          <cell r="M9" t="str">
            <v>15,8X8 NY</v>
          </cell>
          <cell r="N9" t="str">
            <v>SLP</v>
          </cell>
          <cell r="O9" t="str">
            <v>16,9X10 AL</v>
          </cell>
          <cell r="P9">
            <v>17.010000000000002</v>
          </cell>
          <cell r="Q9">
            <v>17</v>
          </cell>
          <cell r="R9" t="str">
            <v>SIT</v>
          </cell>
          <cell r="S9" t="str">
            <v>0-M-M</v>
          </cell>
          <cell r="T9" t="str">
            <v>SCA1</v>
          </cell>
          <cell r="U9" t="str">
            <v>SCA</v>
          </cell>
          <cell r="V9" t="str">
            <v>PROPIO</v>
          </cell>
          <cell r="W9" t="str">
            <v>BLANCO</v>
          </cell>
          <cell r="Z9">
            <v>1</v>
          </cell>
          <cell r="AA9" t="str">
            <v>GT2</v>
          </cell>
        </row>
        <row r="10">
          <cell r="B10" t="str">
            <v>ACTUALSLOT</v>
          </cell>
          <cell r="C10" t="str">
            <v>DAVID MERCADER - JORDI RIEROLA</v>
          </cell>
          <cell r="D10">
            <v>264.5</v>
          </cell>
          <cell r="E10">
            <v>4</v>
          </cell>
          <cell r="F10">
            <v>4</v>
          </cell>
          <cell r="G10" t="str">
            <v>PORSCHE</v>
          </cell>
          <cell r="H10">
            <v>35</v>
          </cell>
          <cell r="I10" t="str">
            <v>SIT</v>
          </cell>
          <cell r="J10" t="str">
            <v>SIT</v>
          </cell>
          <cell r="K10" t="str">
            <v>12_28</v>
          </cell>
          <cell r="L10" t="str">
            <v>PKS</v>
          </cell>
          <cell r="M10" t="str">
            <v>15,8X8 NY</v>
          </cell>
          <cell r="N10" t="str">
            <v>SLP</v>
          </cell>
          <cell r="O10" t="str">
            <v>16,9X10 AL</v>
          </cell>
          <cell r="P10">
            <v>15.54</v>
          </cell>
          <cell r="Q10">
            <v>15.5</v>
          </cell>
          <cell r="R10" t="str">
            <v>SIT</v>
          </cell>
          <cell r="S10" t="str">
            <v>0-I-M</v>
          </cell>
          <cell r="T10" t="str">
            <v>SIT1</v>
          </cell>
          <cell r="U10" t="str">
            <v>SIT</v>
          </cell>
          <cell r="V10" t="str">
            <v>PROPIO</v>
          </cell>
          <cell r="W10" t="str">
            <v>NEGRO</v>
          </cell>
          <cell r="Z10">
            <v>1</v>
          </cell>
          <cell r="AA10" t="str">
            <v>GR.1</v>
          </cell>
        </row>
        <row r="11">
          <cell r="B11" t="str">
            <v>EL SOT</v>
          </cell>
          <cell r="C11" t="str">
            <v>JORGE VALDIVIESO - ALBERTO BOLSA</v>
          </cell>
          <cell r="D11">
            <v>146.5</v>
          </cell>
          <cell r="E11">
            <v>5</v>
          </cell>
          <cell r="F11">
            <v>2</v>
          </cell>
          <cell r="G11" t="str">
            <v>PORSCHE</v>
          </cell>
          <cell r="I11" t="str">
            <v>SIT</v>
          </cell>
          <cell r="J11" t="str">
            <v>SIT</v>
          </cell>
          <cell r="K11" t="str">
            <v>12_30</v>
          </cell>
          <cell r="L11" t="str">
            <v>SIT</v>
          </cell>
          <cell r="M11" t="str">
            <v>15,8X8 PL</v>
          </cell>
          <cell r="N11" t="str">
            <v>SLP</v>
          </cell>
          <cell r="O11" t="str">
            <v>16,9X10 AL</v>
          </cell>
          <cell r="P11">
            <v>15.52</v>
          </cell>
          <cell r="Q11">
            <v>15.5</v>
          </cell>
          <cell r="R11" t="str">
            <v>SIT</v>
          </cell>
          <cell r="S11" t="str">
            <v>0-0-M</v>
          </cell>
          <cell r="T11" t="str">
            <v>SIT1</v>
          </cell>
          <cell r="U11" t="str">
            <v>SIT</v>
          </cell>
          <cell r="V11" t="str">
            <v>PROPIO</v>
          </cell>
          <cell r="W11" t="str">
            <v>NEGRO</v>
          </cell>
          <cell r="Z11">
            <v>1</v>
          </cell>
          <cell r="AA11" t="str">
            <v>GT2</v>
          </cell>
        </row>
        <row r="12">
          <cell r="B12" t="str">
            <v>GASCLAVAT-4</v>
          </cell>
          <cell r="C12" t="str">
            <v>ANDREU MARTIN - ALBERT CASTELLAR</v>
          </cell>
          <cell r="D12">
            <v>0</v>
          </cell>
          <cell r="E12">
            <v>6</v>
          </cell>
          <cell r="F12">
            <v>6</v>
          </cell>
          <cell r="G12" t="str">
            <v>SALEEN</v>
          </cell>
          <cell r="H12">
            <v>9</v>
          </cell>
          <cell r="I12" t="str">
            <v>SIT</v>
          </cell>
          <cell r="J12" t="str">
            <v>SIT</v>
          </cell>
          <cell r="K12" t="str">
            <v>12_30</v>
          </cell>
          <cell r="L12" t="str">
            <v>SLP</v>
          </cell>
          <cell r="M12" t="str">
            <v>15,8X8 AL</v>
          </cell>
          <cell r="N12" t="str">
            <v>SLP</v>
          </cell>
          <cell r="O12" t="str">
            <v>16,2X8,5AL</v>
          </cell>
          <cell r="P12">
            <v>16.190000000000001</v>
          </cell>
          <cell r="Q12">
            <v>15.5</v>
          </cell>
          <cell r="R12" t="str">
            <v>SLP</v>
          </cell>
          <cell r="S12" t="str">
            <v>0-0-M</v>
          </cell>
          <cell r="T12" t="str">
            <v>SIT05</v>
          </cell>
          <cell r="U12" t="str">
            <v>SCA</v>
          </cell>
          <cell r="V12" t="str">
            <v>PROPIO</v>
          </cell>
          <cell r="W12" t="str">
            <v>BLANCO</v>
          </cell>
          <cell r="Z12">
            <v>1</v>
          </cell>
          <cell r="AA12" t="str">
            <v>GT2</v>
          </cell>
        </row>
        <row r="13">
          <cell r="C13" t="str">
            <v>--</v>
          </cell>
          <cell r="D13" t="str">
            <v>--</v>
          </cell>
          <cell r="E13" t="str">
            <v>--</v>
          </cell>
          <cell r="K13" t="str">
            <v/>
          </cell>
          <cell r="Q13" t="str">
            <v/>
          </cell>
          <cell r="Z13">
            <v>1</v>
          </cell>
          <cell r="AA13" t="str">
            <v/>
          </cell>
        </row>
        <row r="14">
          <cell r="C14" t="str">
            <v>--</v>
          </cell>
          <cell r="D14" t="str">
            <v>--</v>
          </cell>
          <cell r="E14" t="str">
            <v>--</v>
          </cell>
          <cell r="K14" t="str">
            <v/>
          </cell>
          <cell r="Q14" t="str">
            <v/>
          </cell>
          <cell r="Z14">
            <v>1</v>
          </cell>
          <cell r="AA14" t="str">
            <v/>
          </cell>
        </row>
        <row r="15">
          <cell r="C15" t="str">
            <v>--</v>
          </cell>
          <cell r="D15" t="str">
            <v>--</v>
          </cell>
          <cell r="E15" t="str">
            <v>--</v>
          </cell>
          <cell r="K15" t="str">
            <v/>
          </cell>
          <cell r="Q15" t="str">
            <v/>
          </cell>
          <cell r="Z15">
            <v>1</v>
          </cell>
          <cell r="AA15" t="str">
            <v/>
          </cell>
        </row>
        <row r="16">
          <cell r="B16" t="str">
            <v>TEAM - MANNSCHAFT    # 6 #</v>
          </cell>
          <cell r="C16" t="str">
            <v>PILOTOS</v>
          </cell>
          <cell r="D16" t="str">
            <v>PTS</v>
          </cell>
          <cell r="E16" t="str">
            <v>ORD</v>
          </cell>
          <cell r="F16" t="str">
            <v>LANE</v>
          </cell>
          <cell r="G16" t="str">
            <v>COCHE</v>
          </cell>
          <cell r="H16" t="str">
            <v>MOT</v>
          </cell>
          <cell r="I16" t="str">
            <v>PIÑON</v>
          </cell>
          <cell r="J16" t="str">
            <v>CORONA</v>
          </cell>
          <cell r="K16" t="str">
            <v>REL</v>
          </cell>
          <cell r="L16" t="str">
            <v>LL. DEL</v>
          </cell>
          <cell r="M16" t="str">
            <v>DIM-MAT</v>
          </cell>
          <cell r="N16" t="str">
            <v>LL. TRA</v>
          </cell>
          <cell r="O16" t="str">
            <v>DIM-MAT</v>
          </cell>
          <cell r="P16" t="str">
            <v>PESO</v>
          </cell>
          <cell r="Q16" t="str">
            <v>MIN W.</v>
          </cell>
          <cell r="R16" t="str">
            <v>TRENCILLAS</v>
          </cell>
          <cell r="S16" t="str">
            <v>SUSP.</v>
          </cell>
          <cell r="T16" t="str">
            <v>BANCADA</v>
          </cell>
          <cell r="U16" t="str">
            <v>CHASIS</v>
          </cell>
          <cell r="X16" t="str">
            <v>NEUM.</v>
          </cell>
          <cell r="Y16" t="str">
            <v>OBS. VERIFICACIONES</v>
          </cell>
          <cell r="Z16" t="str">
            <v>Manga</v>
          </cell>
          <cell r="AA16" t="str">
            <v>COPA</v>
          </cell>
        </row>
        <row r="17">
          <cell r="B17" t="str">
            <v>CRIC-CRAC</v>
          </cell>
          <cell r="C17" t="str">
            <v>VALERI JONAMA - ISRAEL GOMEZ</v>
          </cell>
          <cell r="D17">
            <v>914</v>
          </cell>
          <cell r="E17">
            <v>1</v>
          </cell>
          <cell r="F17">
            <v>3</v>
          </cell>
          <cell r="G17" t="str">
            <v>PORSCHE</v>
          </cell>
          <cell r="H17">
            <v>13</v>
          </cell>
          <cell r="I17" t="str">
            <v>SLP</v>
          </cell>
          <cell r="J17" t="str">
            <v>SIT</v>
          </cell>
          <cell r="K17" t="str">
            <v>12_28</v>
          </cell>
          <cell r="L17" t="str">
            <v>SIT</v>
          </cell>
          <cell r="M17" t="str">
            <v>15,8X8 PL</v>
          </cell>
          <cell r="N17" t="str">
            <v>SCA</v>
          </cell>
          <cell r="O17" t="str">
            <v>16,5X8 AL</v>
          </cell>
          <cell r="P17">
            <v>15.59</v>
          </cell>
          <cell r="Q17">
            <v>15.5</v>
          </cell>
          <cell r="R17" t="str">
            <v>MB</v>
          </cell>
          <cell r="S17" t="str">
            <v>0-0-M</v>
          </cell>
          <cell r="T17" t="str">
            <v>SIT 1</v>
          </cell>
          <cell r="U17" t="str">
            <v>SIT</v>
          </cell>
          <cell r="V17" t="str">
            <v>PROPIO</v>
          </cell>
          <cell r="W17" t="str">
            <v>NEGRO</v>
          </cell>
          <cell r="Z17">
            <v>2</v>
          </cell>
          <cell r="AA17" t="str">
            <v>GR.1</v>
          </cell>
        </row>
        <row r="18">
          <cell r="B18" t="str">
            <v>EL SOT-FU</v>
          </cell>
          <cell r="C18" t="str">
            <v>JORDI ROBLES - ALEX ROBLES</v>
          </cell>
          <cell r="D18">
            <v>835</v>
          </cell>
          <cell r="E18">
            <v>2</v>
          </cell>
          <cell r="F18">
            <v>5</v>
          </cell>
          <cell r="G18" t="str">
            <v>SPYKER</v>
          </cell>
          <cell r="H18">
            <v>26</v>
          </cell>
          <cell r="I18" t="str">
            <v>SIT</v>
          </cell>
          <cell r="J18" t="str">
            <v>SIT</v>
          </cell>
          <cell r="K18" t="str">
            <v>12_28</v>
          </cell>
          <cell r="L18" t="str">
            <v>SIT</v>
          </cell>
          <cell r="M18" t="str">
            <v>15,8X8 PL</v>
          </cell>
          <cell r="N18" t="str">
            <v>SLP</v>
          </cell>
          <cell r="O18" t="str">
            <v>16,5X10 AL</v>
          </cell>
          <cell r="P18">
            <v>17.02</v>
          </cell>
          <cell r="Q18">
            <v>17</v>
          </cell>
          <cell r="R18" t="str">
            <v>SIT</v>
          </cell>
          <cell r="S18" t="str">
            <v>0-0-I</v>
          </cell>
          <cell r="T18" t="str">
            <v>SCA1</v>
          </cell>
          <cell r="U18" t="str">
            <v>SCA</v>
          </cell>
          <cell r="V18" t="str">
            <v>PROPIO</v>
          </cell>
          <cell r="W18" t="str">
            <v>BLANCO</v>
          </cell>
          <cell r="Z18">
            <v>2</v>
          </cell>
          <cell r="AA18" t="str">
            <v>GR.2</v>
          </cell>
        </row>
        <row r="19">
          <cell r="C19" t="str">
            <v>--</v>
          </cell>
          <cell r="D19" t="str">
            <v>--</v>
          </cell>
          <cell r="E19" t="str">
            <v>--</v>
          </cell>
          <cell r="K19" t="str">
            <v/>
          </cell>
          <cell r="Q19" t="str">
            <v/>
          </cell>
          <cell r="Z19">
            <v>2</v>
          </cell>
          <cell r="AA19" t="str">
            <v/>
          </cell>
        </row>
        <row r="20">
          <cell r="B20" t="str">
            <v>SLOTMANIA-RIDERS</v>
          </cell>
          <cell r="C20" t="str">
            <v>DAVID IZQUIERDO - SERGI SOLA</v>
          </cell>
          <cell r="D20">
            <v>676</v>
          </cell>
          <cell r="E20">
            <v>3</v>
          </cell>
          <cell r="F20">
            <v>1</v>
          </cell>
          <cell r="G20" t="str">
            <v>SPYKER</v>
          </cell>
          <cell r="H20">
            <v>4</v>
          </cell>
          <cell r="I20" t="str">
            <v>SIT</v>
          </cell>
          <cell r="J20" t="str">
            <v>SCA</v>
          </cell>
          <cell r="K20" t="str">
            <v>12_28</v>
          </cell>
          <cell r="L20" t="str">
            <v>SIT</v>
          </cell>
          <cell r="M20" t="str">
            <v>15,8X PL</v>
          </cell>
          <cell r="N20" t="str">
            <v>SLP</v>
          </cell>
          <cell r="O20" t="str">
            <v>16,5X10 AL</v>
          </cell>
          <cell r="P20">
            <v>17</v>
          </cell>
          <cell r="Q20">
            <v>17</v>
          </cell>
          <cell r="R20" t="str">
            <v>MB</v>
          </cell>
          <cell r="S20" t="str">
            <v>0-0-I</v>
          </cell>
          <cell r="T20" t="str">
            <v>SCA1</v>
          </cell>
          <cell r="U20" t="str">
            <v>SCA</v>
          </cell>
          <cell r="V20" t="str">
            <v>PROPIO</v>
          </cell>
          <cell r="W20" t="str">
            <v>BLANCO</v>
          </cell>
          <cell r="Z20">
            <v>2</v>
          </cell>
          <cell r="AA20" t="str">
            <v>SCA</v>
          </cell>
        </row>
        <row r="21">
          <cell r="B21" t="str">
            <v>SLOT FOR YOU-CUIDADIN</v>
          </cell>
          <cell r="C21" t="str">
            <v>SERGI SALADRIGAS - MARC CASANOVAS</v>
          </cell>
          <cell r="D21">
            <v>660</v>
          </cell>
          <cell r="E21">
            <v>4</v>
          </cell>
          <cell r="F21">
            <v>2</v>
          </cell>
          <cell r="G21" t="str">
            <v>VIPER</v>
          </cell>
          <cell r="H21">
            <v>36</v>
          </cell>
          <cell r="I21" t="str">
            <v>SIT</v>
          </cell>
          <cell r="J21" t="str">
            <v>SIT</v>
          </cell>
          <cell r="K21" t="str">
            <v>12_28</v>
          </cell>
          <cell r="L21" t="str">
            <v>SIT</v>
          </cell>
          <cell r="M21" t="str">
            <v>15,8X PL</v>
          </cell>
          <cell r="N21" t="str">
            <v>SCA</v>
          </cell>
          <cell r="O21" t="str">
            <v>16,5X10 AL</v>
          </cell>
          <cell r="P21">
            <v>17.149999999999999</v>
          </cell>
          <cell r="Q21">
            <v>17</v>
          </cell>
          <cell r="R21" t="str">
            <v>SCA</v>
          </cell>
          <cell r="S21" t="str">
            <v>0-0-M</v>
          </cell>
          <cell r="T21" t="str">
            <v>SCA1</v>
          </cell>
          <cell r="U21" t="str">
            <v>SCA</v>
          </cell>
          <cell r="V21" t="str">
            <v>PROPIO</v>
          </cell>
          <cell r="W21" t="str">
            <v>BLANCO</v>
          </cell>
          <cell r="Z21">
            <v>2</v>
          </cell>
          <cell r="AA21" t="str">
            <v>SCA</v>
          </cell>
        </row>
        <row r="22">
          <cell r="B22" t="str">
            <v>DZERO TEAM-PADDOCK</v>
          </cell>
          <cell r="C22" t="str">
            <v>ISRAEL NEVADO - VICTOR GONZALEZ</v>
          </cell>
          <cell r="D22">
            <v>548</v>
          </cell>
          <cell r="E22">
            <v>5</v>
          </cell>
          <cell r="F22">
            <v>4</v>
          </cell>
          <cell r="G22" t="str">
            <v>CORVETTE</v>
          </cell>
          <cell r="H22" t="str">
            <v>?</v>
          </cell>
          <cell r="I22" t="str">
            <v>SIT</v>
          </cell>
          <cell r="J22" t="str">
            <v>SIT</v>
          </cell>
          <cell r="K22" t="str">
            <v>12_30</v>
          </cell>
          <cell r="L22" t="str">
            <v>SIT</v>
          </cell>
          <cell r="M22" t="str">
            <v>15,8X PL</v>
          </cell>
          <cell r="N22" t="str">
            <v>SLP</v>
          </cell>
          <cell r="O22" t="str">
            <v>15,8X10AL</v>
          </cell>
          <cell r="P22">
            <v>17</v>
          </cell>
          <cell r="Q22">
            <v>17</v>
          </cell>
          <cell r="R22" t="str">
            <v>MB</v>
          </cell>
          <cell r="S22" t="str">
            <v>0-0-1</v>
          </cell>
          <cell r="T22" t="str">
            <v>SCA1</v>
          </cell>
          <cell r="U22" t="str">
            <v>SCA</v>
          </cell>
          <cell r="V22" t="str">
            <v>PROPIO</v>
          </cell>
          <cell r="W22" t="str">
            <v>BLANCO</v>
          </cell>
          <cell r="Z22">
            <v>2</v>
          </cell>
          <cell r="AA22" t="str">
            <v>GT2</v>
          </cell>
        </row>
        <row r="23">
          <cell r="B23" t="str">
            <v>SLOTSAB-JUNIOR</v>
          </cell>
          <cell r="C23" t="str">
            <v>SERGI MARTINEZ - VICTOR LEON</v>
          </cell>
          <cell r="D23">
            <v>541</v>
          </cell>
          <cell r="E23">
            <v>6</v>
          </cell>
          <cell r="F23">
            <v>6</v>
          </cell>
          <cell r="G23" t="str">
            <v>LMSGT3</v>
          </cell>
          <cell r="H23">
            <v>49</v>
          </cell>
          <cell r="I23" t="str">
            <v>SIT</v>
          </cell>
          <cell r="J23" t="str">
            <v>SIT</v>
          </cell>
          <cell r="K23" t="str">
            <v>12_28</v>
          </cell>
          <cell r="L23" t="str">
            <v>SCA</v>
          </cell>
          <cell r="M23" t="str">
            <v>15,8X8 AL</v>
          </cell>
          <cell r="N23" t="str">
            <v>SCA</v>
          </cell>
          <cell r="O23" t="str">
            <v>16,9X8AL</v>
          </cell>
          <cell r="P23">
            <v>17</v>
          </cell>
          <cell r="Q23">
            <v>17</v>
          </cell>
          <cell r="R23" t="str">
            <v>MB</v>
          </cell>
          <cell r="S23" t="str">
            <v>0-0-1</v>
          </cell>
          <cell r="T23" t="str">
            <v>SCA1</v>
          </cell>
          <cell r="U23" t="str">
            <v>SCA</v>
          </cell>
          <cell r="V23" t="str">
            <v>PROPIO</v>
          </cell>
          <cell r="W23" t="str">
            <v>BLANCO</v>
          </cell>
          <cell r="Z23">
            <v>2</v>
          </cell>
          <cell r="AA23" t="str">
            <v>SCA</v>
          </cell>
        </row>
        <row r="24">
          <cell r="C24" t="str">
            <v>--</v>
          </cell>
          <cell r="D24" t="str">
            <v>--</v>
          </cell>
          <cell r="E24" t="str">
            <v>--</v>
          </cell>
          <cell r="K24" t="str">
            <v/>
          </cell>
          <cell r="Q24" t="str">
            <v/>
          </cell>
          <cell r="Z24">
            <v>2</v>
          </cell>
          <cell r="AA24" t="str">
            <v/>
          </cell>
        </row>
        <row r="25">
          <cell r="C25" t="str">
            <v>--</v>
          </cell>
          <cell r="D25" t="str">
            <v>--</v>
          </cell>
          <cell r="E25" t="str">
            <v>--</v>
          </cell>
          <cell r="Q25" t="str">
            <v/>
          </cell>
          <cell r="Z25">
            <v>2</v>
          </cell>
          <cell r="AA25" t="str">
            <v/>
          </cell>
        </row>
        <row r="26">
          <cell r="C26" t="str">
            <v>--</v>
          </cell>
          <cell r="D26" t="str">
            <v>--</v>
          </cell>
          <cell r="E26" t="str">
            <v>--</v>
          </cell>
          <cell r="K26" t="str">
            <v/>
          </cell>
          <cell r="Q26" t="str">
            <v/>
          </cell>
          <cell r="Z26">
            <v>2</v>
          </cell>
          <cell r="AA26" t="str">
            <v/>
          </cell>
        </row>
        <row r="27">
          <cell r="B27" t="str">
            <v>TEAM - MANNSCHAFT    # 9 #</v>
          </cell>
          <cell r="C27" t="str">
            <v>PILOTOS</v>
          </cell>
          <cell r="D27" t="str">
            <v>PTS</v>
          </cell>
          <cell r="E27" t="str">
            <v>ORD</v>
          </cell>
          <cell r="F27" t="str">
            <v>LANE</v>
          </cell>
          <cell r="G27" t="str">
            <v>COCHE</v>
          </cell>
          <cell r="H27" t="str">
            <v>MOT</v>
          </cell>
          <cell r="I27" t="str">
            <v>PIÑON</v>
          </cell>
          <cell r="J27" t="str">
            <v>CORONA</v>
          </cell>
          <cell r="K27" t="str">
            <v>REL</v>
          </cell>
          <cell r="L27" t="str">
            <v>LL. DEL</v>
          </cell>
          <cell r="M27" t="str">
            <v>DIM-MAT</v>
          </cell>
          <cell r="N27" t="str">
            <v>LL. TRA</v>
          </cell>
          <cell r="O27" t="str">
            <v>DIM-MAT</v>
          </cell>
          <cell r="P27" t="str">
            <v>PESO</v>
          </cell>
          <cell r="Q27" t="str">
            <v>MIN W.</v>
          </cell>
          <cell r="R27" t="str">
            <v>TRENCILLAS</v>
          </cell>
          <cell r="S27" t="str">
            <v>SUSP.</v>
          </cell>
          <cell r="T27" t="str">
            <v>BANCADA</v>
          </cell>
          <cell r="U27" t="str">
            <v>CHASIS</v>
          </cell>
          <cell r="X27" t="str">
            <v>NEUM.</v>
          </cell>
          <cell r="Y27" t="str">
            <v>OBS. VERIFICACIONES</v>
          </cell>
          <cell r="Z27" t="str">
            <v>Manga</v>
          </cell>
          <cell r="AA27" t="str">
            <v>COPA</v>
          </cell>
        </row>
        <row r="28">
          <cell r="B28" t="str">
            <v>EL SOT-TEAM</v>
          </cell>
          <cell r="C28" t="str">
            <v>JOSEP Mª SEREROLS - EDUARD CERDA</v>
          </cell>
          <cell r="D28">
            <v>856</v>
          </cell>
          <cell r="E28">
            <v>1</v>
          </cell>
          <cell r="F28">
            <v>5</v>
          </cell>
          <cell r="G28" t="str">
            <v>VIPER</v>
          </cell>
          <cell r="H28">
            <v>22</v>
          </cell>
          <cell r="I28" t="str">
            <v>SIT</v>
          </cell>
          <cell r="J28" t="str">
            <v>SIT</v>
          </cell>
          <cell r="K28" t="str">
            <v>12_28</v>
          </cell>
          <cell r="L28" t="str">
            <v>SCA</v>
          </cell>
          <cell r="M28" t="str">
            <v>16,5X8 AL</v>
          </cell>
          <cell r="N28" t="str">
            <v>SCA</v>
          </cell>
          <cell r="O28" t="str">
            <v>16,9X8AL</v>
          </cell>
          <cell r="P28">
            <v>17.09</v>
          </cell>
          <cell r="Q28">
            <v>17</v>
          </cell>
          <cell r="R28" t="str">
            <v>MB</v>
          </cell>
          <cell r="S28" t="str">
            <v>0-0-I</v>
          </cell>
          <cell r="T28" t="str">
            <v>SCA1</v>
          </cell>
          <cell r="U28" t="str">
            <v>SCA</v>
          </cell>
          <cell r="V28" t="str">
            <v>PROPIO</v>
          </cell>
          <cell r="W28" t="str">
            <v>BLANCO</v>
          </cell>
          <cell r="Z28">
            <v>3</v>
          </cell>
          <cell r="AA28" t="str">
            <v>GR.2</v>
          </cell>
        </row>
        <row r="29">
          <cell r="B29" t="str">
            <v>SLOT FOR YOU</v>
          </cell>
          <cell r="C29" t="str">
            <v>VICENS FEBRERO - JOEL MENDIZABAL</v>
          </cell>
          <cell r="D29">
            <v>849</v>
          </cell>
          <cell r="E29">
            <v>2</v>
          </cell>
          <cell r="F29" t="str">
            <v>D3</v>
          </cell>
          <cell r="G29" t="str">
            <v>VIPER</v>
          </cell>
          <cell r="H29">
            <v>7</v>
          </cell>
          <cell r="I29" t="str">
            <v>SIT</v>
          </cell>
          <cell r="J29" t="str">
            <v>SIT</v>
          </cell>
          <cell r="K29" t="str">
            <v>12_28</v>
          </cell>
          <cell r="L29" t="str">
            <v>SIT</v>
          </cell>
          <cell r="M29" t="str">
            <v>15,8X8 PL</v>
          </cell>
          <cell r="N29" t="str">
            <v>SLP</v>
          </cell>
          <cell r="O29" t="str">
            <v>16,9X10 AL</v>
          </cell>
          <cell r="P29">
            <v>17.02</v>
          </cell>
          <cell r="Q29">
            <v>17</v>
          </cell>
          <cell r="R29" t="str">
            <v>SIT</v>
          </cell>
          <cell r="S29" t="str">
            <v>0-0-I</v>
          </cell>
          <cell r="T29" t="str">
            <v>SCA1</v>
          </cell>
          <cell r="U29" t="str">
            <v>SCA</v>
          </cell>
          <cell r="V29" t="str">
            <v>PROPIO</v>
          </cell>
          <cell r="W29" t="str">
            <v>BLANCO</v>
          </cell>
          <cell r="Z29">
            <v>3</v>
          </cell>
          <cell r="AA29" t="str">
            <v>GR.2</v>
          </cell>
        </row>
        <row r="30">
          <cell r="B30" t="str">
            <v>HOT SLOT FOR YOU</v>
          </cell>
          <cell r="C30" t="str">
            <v>JORDI CANYELLES - XAVI CORTADA</v>
          </cell>
          <cell r="D30">
            <v>725</v>
          </cell>
          <cell r="E30">
            <v>3</v>
          </cell>
          <cell r="F30">
            <v>4</v>
          </cell>
          <cell r="G30" t="str">
            <v>HURACAN</v>
          </cell>
          <cell r="H30">
            <v>3</v>
          </cell>
          <cell r="I30" t="str">
            <v>SIT</v>
          </cell>
          <cell r="J30" t="str">
            <v>SID</v>
          </cell>
          <cell r="K30" t="str">
            <v>12_28</v>
          </cell>
          <cell r="L30" t="str">
            <v>SIT</v>
          </cell>
          <cell r="M30" t="str">
            <v>15,8 PL</v>
          </cell>
          <cell r="N30" t="str">
            <v>SLP</v>
          </cell>
          <cell r="O30" t="str">
            <v>16,2X10 AL</v>
          </cell>
          <cell r="P30">
            <v>18.170000000000002</v>
          </cell>
          <cell r="Q30">
            <v>17</v>
          </cell>
          <cell r="R30" t="str">
            <v>SCA</v>
          </cell>
          <cell r="S30" t="str">
            <v>0-M-I</v>
          </cell>
          <cell r="T30" t="str">
            <v>SIT1</v>
          </cell>
          <cell r="U30" t="str">
            <v>SID</v>
          </cell>
          <cell r="V30" t="str">
            <v>PROPIO</v>
          </cell>
          <cell r="W30" t="str">
            <v>NEGRO</v>
          </cell>
          <cell r="Z30">
            <v>3</v>
          </cell>
          <cell r="AA30" t="str">
            <v>GR.3</v>
          </cell>
        </row>
        <row r="31">
          <cell r="B31" t="str">
            <v>DREAM SLOT-ESTEL·LATS</v>
          </cell>
          <cell r="C31" t="str">
            <v>JORDI SIMO - CARLES CARREÑO</v>
          </cell>
          <cell r="D31">
            <v>713</v>
          </cell>
          <cell r="E31">
            <v>4</v>
          </cell>
          <cell r="F31">
            <v>3</v>
          </cell>
          <cell r="G31" t="str">
            <v>FORD GT</v>
          </cell>
          <cell r="H31">
            <v>12</v>
          </cell>
          <cell r="I31" t="str">
            <v>SIT</v>
          </cell>
          <cell r="J31" t="str">
            <v>SIT</v>
          </cell>
          <cell r="K31" t="str">
            <v>12_28</v>
          </cell>
          <cell r="L31" t="str">
            <v>SIT</v>
          </cell>
          <cell r="M31" t="str">
            <v>15,8X8PL</v>
          </cell>
          <cell r="N31" t="str">
            <v>SLP</v>
          </cell>
          <cell r="O31" t="str">
            <v>16,9X10 AL</v>
          </cell>
          <cell r="P31">
            <v>16.18</v>
          </cell>
          <cell r="Q31">
            <v>15.5</v>
          </cell>
          <cell r="R31" t="str">
            <v>MB</v>
          </cell>
          <cell r="S31" t="str">
            <v>0-M-I</v>
          </cell>
          <cell r="T31" t="str">
            <v>SIT1</v>
          </cell>
          <cell r="U31" t="str">
            <v>MOR</v>
          </cell>
          <cell r="V31" t="str">
            <v>PROPIO</v>
          </cell>
          <cell r="W31" t="str">
            <v>NEGRO</v>
          </cell>
          <cell r="Z31">
            <v>3</v>
          </cell>
          <cell r="AA31" t="str">
            <v>GR.1</v>
          </cell>
        </row>
        <row r="32">
          <cell r="B32" t="str">
            <v>SLOT34YOU</v>
          </cell>
          <cell r="C32" t="str">
            <v>ADAM PARERA - JORDI PEREZ</v>
          </cell>
          <cell r="D32">
            <v>693</v>
          </cell>
          <cell r="E32">
            <v>5</v>
          </cell>
          <cell r="F32" t="str">
            <v>D2</v>
          </cell>
          <cell r="G32" t="str">
            <v>SPYKER</v>
          </cell>
          <cell r="H32">
            <v>30</v>
          </cell>
          <cell r="I32" t="str">
            <v>SIT</v>
          </cell>
          <cell r="J32" t="str">
            <v>SIT</v>
          </cell>
          <cell r="K32" t="str">
            <v>12_28</v>
          </cell>
          <cell r="L32" t="str">
            <v>SCA</v>
          </cell>
          <cell r="M32" t="str">
            <v>15,8X8 AL</v>
          </cell>
          <cell r="N32" t="str">
            <v>SLP</v>
          </cell>
          <cell r="O32" t="str">
            <v>16,5X10 AL</v>
          </cell>
          <cell r="P32">
            <v>17</v>
          </cell>
          <cell r="Q32">
            <v>17</v>
          </cell>
          <cell r="R32" t="str">
            <v>SCA</v>
          </cell>
          <cell r="S32" t="str">
            <v>0-0-I</v>
          </cell>
          <cell r="T32" t="str">
            <v>SCA1</v>
          </cell>
          <cell r="U32" t="str">
            <v>SCA</v>
          </cell>
          <cell r="V32" t="str">
            <v>PROPIO</v>
          </cell>
          <cell r="W32" t="str">
            <v>BLANCO</v>
          </cell>
          <cell r="Z32">
            <v>3</v>
          </cell>
          <cell r="AA32" t="str">
            <v>SCA</v>
          </cell>
        </row>
        <row r="33">
          <cell r="B33" t="str">
            <v>EL SOT-SPORT</v>
          </cell>
          <cell r="C33" t="str">
            <v>ALBERT TRAFACH - OSCAR CAPEL</v>
          </cell>
          <cell r="D33">
            <v>636</v>
          </cell>
          <cell r="E33">
            <v>6</v>
          </cell>
          <cell r="F33" t="str">
            <v>D1</v>
          </cell>
          <cell r="G33" t="str">
            <v>PORSCHE</v>
          </cell>
          <cell r="H33">
            <v>6</v>
          </cell>
          <cell r="I33" t="str">
            <v>SCA</v>
          </cell>
          <cell r="J33" t="str">
            <v>SIT</v>
          </cell>
          <cell r="K33" t="str">
            <v>12_28</v>
          </cell>
          <cell r="L33" t="str">
            <v>PKS</v>
          </cell>
          <cell r="M33" t="str">
            <v>15,8X8</v>
          </cell>
          <cell r="N33" t="str">
            <v>SLP</v>
          </cell>
          <cell r="O33" t="str">
            <v>16,5X10 AL</v>
          </cell>
          <cell r="P33">
            <v>15.57</v>
          </cell>
          <cell r="Q33">
            <v>15.5</v>
          </cell>
          <cell r="R33" t="str">
            <v>MB</v>
          </cell>
          <cell r="S33" t="str">
            <v>0-M-M</v>
          </cell>
          <cell r="T33" t="str">
            <v>SIT1</v>
          </cell>
          <cell r="U33" t="str">
            <v>SIT</v>
          </cell>
          <cell r="V33" t="str">
            <v>PROPIO</v>
          </cell>
          <cell r="W33" t="str">
            <v>BLANCO</v>
          </cell>
          <cell r="Z33">
            <v>3</v>
          </cell>
          <cell r="AA33" t="str">
            <v>GR.1</v>
          </cell>
        </row>
        <row r="34">
          <cell r="B34" t="str">
            <v>ARREPLEGATS</v>
          </cell>
          <cell r="C34" t="str">
            <v>GERMA PORTET - MARC LANSAC</v>
          </cell>
          <cell r="D34">
            <v>603.5</v>
          </cell>
          <cell r="E34">
            <v>7</v>
          </cell>
          <cell r="F34">
            <v>1</v>
          </cell>
          <cell r="G34" t="str">
            <v>SPYKER</v>
          </cell>
          <cell r="H34">
            <v>44</v>
          </cell>
          <cell r="I34" t="str">
            <v>SIT</v>
          </cell>
          <cell r="J34" t="str">
            <v>SIT</v>
          </cell>
          <cell r="K34" t="str">
            <v>12_28</v>
          </cell>
          <cell r="L34" t="str">
            <v>SIT</v>
          </cell>
          <cell r="M34" t="str">
            <v>15,8X8 PL</v>
          </cell>
          <cell r="N34" t="str">
            <v>SLP</v>
          </cell>
          <cell r="O34" t="str">
            <v>16,5X10 AL</v>
          </cell>
          <cell r="P34">
            <v>17.09</v>
          </cell>
          <cell r="Q34">
            <v>17</v>
          </cell>
          <cell r="R34" t="str">
            <v>MB</v>
          </cell>
          <cell r="S34" t="str">
            <v>0-M-I</v>
          </cell>
          <cell r="T34" t="str">
            <v>SCA1</v>
          </cell>
          <cell r="U34" t="str">
            <v>SCA</v>
          </cell>
          <cell r="V34" t="str">
            <v>PROPIO</v>
          </cell>
          <cell r="W34" t="str">
            <v>BLANCO</v>
          </cell>
          <cell r="Z34">
            <v>3</v>
          </cell>
          <cell r="AA34" t="str">
            <v>GR.2</v>
          </cell>
        </row>
        <row r="35">
          <cell r="B35" t="str">
            <v>STP-RACING</v>
          </cell>
          <cell r="C35" t="str">
            <v>RICHARD ARREDONDO - GABRIEL RODRIGUEZ</v>
          </cell>
          <cell r="D35">
            <v>599</v>
          </cell>
          <cell r="E35">
            <v>8</v>
          </cell>
          <cell r="F35">
            <v>2</v>
          </cell>
          <cell r="G35" t="str">
            <v>SPYKER</v>
          </cell>
          <cell r="H35">
            <v>10</v>
          </cell>
          <cell r="I35" t="str">
            <v>SIT</v>
          </cell>
          <cell r="J35" t="str">
            <v>SIT</v>
          </cell>
          <cell r="K35" t="str">
            <v>12_28</v>
          </cell>
          <cell r="L35" t="str">
            <v>SIT</v>
          </cell>
          <cell r="M35" t="str">
            <v>15,8X8 PL</v>
          </cell>
          <cell r="N35" t="str">
            <v>SLP</v>
          </cell>
          <cell r="O35" t="str">
            <v>16,5X10 AL</v>
          </cell>
          <cell r="P35">
            <v>17.190000000000001</v>
          </cell>
          <cell r="Q35">
            <v>17</v>
          </cell>
          <cell r="R35" t="str">
            <v>MB</v>
          </cell>
          <cell r="S35" t="str">
            <v>0-0-I</v>
          </cell>
          <cell r="T35" t="str">
            <v>SIT05</v>
          </cell>
          <cell r="U35" t="str">
            <v>SCA</v>
          </cell>
          <cell r="V35" t="str">
            <v>PROPIO</v>
          </cell>
          <cell r="W35" t="str">
            <v>BLANCO</v>
          </cell>
          <cell r="Z35">
            <v>3</v>
          </cell>
          <cell r="AA35" t="str">
            <v>GR.2</v>
          </cell>
        </row>
        <row r="36">
          <cell r="B36" t="str">
            <v>GASCLAVAT-JUNIORS</v>
          </cell>
          <cell r="C36" t="str">
            <v>MARC CLIMENT - ARNAU NAVARRO</v>
          </cell>
          <cell r="D36">
            <v>0</v>
          </cell>
          <cell r="E36">
            <v>9</v>
          </cell>
          <cell r="F36">
            <v>6</v>
          </cell>
          <cell r="G36" t="str">
            <v>FORD GT</v>
          </cell>
          <cell r="I36" t="str">
            <v>SIT</v>
          </cell>
          <cell r="J36" t="str">
            <v>SIT</v>
          </cell>
          <cell r="K36" t="str">
            <v>12_30</v>
          </cell>
          <cell r="L36" t="str">
            <v>SIT</v>
          </cell>
          <cell r="M36" t="str">
            <v>15,8X8</v>
          </cell>
          <cell r="N36" t="str">
            <v>SLP</v>
          </cell>
          <cell r="O36" t="str">
            <v>16,9X10 AL</v>
          </cell>
          <cell r="P36">
            <v>17.399999999999999</v>
          </cell>
          <cell r="Q36">
            <v>15.5</v>
          </cell>
          <cell r="R36" t="str">
            <v>MB</v>
          </cell>
          <cell r="S36" t="str">
            <v>0-M-M</v>
          </cell>
          <cell r="T36" t="str">
            <v>SIT1</v>
          </cell>
          <cell r="U36" t="str">
            <v>MOR</v>
          </cell>
          <cell r="V36" t="str">
            <v>PROPIO</v>
          </cell>
          <cell r="W36" t="str">
            <v>NEGRO</v>
          </cell>
          <cell r="Z36">
            <v>3</v>
          </cell>
          <cell r="AA36" t="str">
            <v>GT2</v>
          </cell>
        </row>
        <row r="37">
          <cell r="C37" t="str">
            <v>--</v>
          </cell>
          <cell r="D37" t="str">
            <v>--</v>
          </cell>
          <cell r="E37" t="str">
            <v>--</v>
          </cell>
          <cell r="K37" t="str">
            <v/>
          </cell>
          <cell r="Q37" t="str">
            <v/>
          </cell>
          <cell r="Z37">
            <v>3</v>
          </cell>
          <cell r="AA37" t="str">
            <v/>
          </cell>
        </row>
        <row r="38">
          <cell r="B38" t="str">
            <v>TEAM - MANNSCHAFT    # 6 #</v>
          </cell>
          <cell r="C38" t="str">
            <v>PILOTOS</v>
          </cell>
          <cell r="D38" t="str">
            <v>PTS</v>
          </cell>
          <cell r="E38" t="str">
            <v>ORD</v>
          </cell>
          <cell r="F38" t="str">
            <v>LANE</v>
          </cell>
          <cell r="G38" t="str">
            <v>COCHE</v>
          </cell>
          <cell r="H38" t="str">
            <v>MOT</v>
          </cell>
          <cell r="I38" t="str">
            <v>PIÑON</v>
          </cell>
          <cell r="J38" t="str">
            <v>CORONA</v>
          </cell>
          <cell r="K38" t="str">
            <v>REL</v>
          </cell>
          <cell r="L38" t="str">
            <v>LL. DEL</v>
          </cell>
          <cell r="M38" t="str">
            <v>DIM-MAT</v>
          </cell>
          <cell r="N38" t="str">
            <v>LL. TRA</v>
          </cell>
          <cell r="O38" t="str">
            <v>DIM-MAT</v>
          </cell>
          <cell r="P38" t="str">
            <v>PESO</v>
          </cell>
          <cell r="Q38" t="str">
            <v>MIN W.</v>
          </cell>
          <cell r="R38" t="str">
            <v>TRENCILLAS</v>
          </cell>
          <cell r="S38" t="str">
            <v>SUSP.</v>
          </cell>
          <cell r="T38" t="str">
            <v>BANCADA</v>
          </cell>
          <cell r="U38" t="str">
            <v>CHASIS</v>
          </cell>
          <cell r="X38" t="str">
            <v>NEUM.</v>
          </cell>
          <cell r="Y38" t="str">
            <v>OBS. VERIFICACIONES</v>
          </cell>
          <cell r="Z38" t="str">
            <v>Manga</v>
          </cell>
          <cell r="AA38" t="str">
            <v>COPA</v>
          </cell>
        </row>
        <row r="39">
          <cell r="B39" t="str">
            <v>SLOTMANIA-BIKE</v>
          </cell>
          <cell r="C39" t="str">
            <v>EDUARD GIL - ALBERT TOMAS</v>
          </cell>
          <cell r="D39">
            <v>647</v>
          </cell>
          <cell r="E39">
            <v>1</v>
          </cell>
          <cell r="F39">
            <v>5</v>
          </cell>
          <cell r="G39" t="str">
            <v>FORD GT</v>
          </cell>
          <cell r="H39">
            <v>27</v>
          </cell>
          <cell r="I39" t="str">
            <v>MB</v>
          </cell>
          <cell r="J39" t="str">
            <v>SID</v>
          </cell>
          <cell r="K39" t="str">
            <v>12_28</v>
          </cell>
          <cell r="L39" t="str">
            <v>SLP</v>
          </cell>
          <cell r="M39" t="str">
            <v>15,8X8 NY</v>
          </cell>
          <cell r="N39" t="str">
            <v>SLP</v>
          </cell>
          <cell r="O39" t="str">
            <v>16,5X10 AL</v>
          </cell>
          <cell r="P39">
            <v>15.51</v>
          </cell>
          <cell r="Q39">
            <v>15.5</v>
          </cell>
          <cell r="R39" t="str">
            <v>MB</v>
          </cell>
          <cell r="S39" t="str">
            <v>0-0-I</v>
          </cell>
          <cell r="T39" t="str">
            <v>SIT1</v>
          </cell>
          <cell r="U39" t="str">
            <v>MOR</v>
          </cell>
          <cell r="V39" t="str">
            <v>PROPIO</v>
          </cell>
          <cell r="W39" t="str">
            <v>NEGRO</v>
          </cell>
          <cell r="Z39">
            <v>4</v>
          </cell>
          <cell r="AA39" t="str">
            <v>GR.1</v>
          </cell>
        </row>
        <row r="40">
          <cell r="B40" t="str">
            <v>GASCLAVAT</v>
          </cell>
          <cell r="C40" t="str">
            <v>JUAN RAMON MESAS - ANGEL NAVARRO</v>
          </cell>
          <cell r="D40">
            <v>406</v>
          </cell>
          <cell r="E40">
            <v>2</v>
          </cell>
          <cell r="F40">
            <v>3</v>
          </cell>
          <cell r="G40" t="str">
            <v>VIPER</v>
          </cell>
          <cell r="H40">
            <v>41</v>
          </cell>
          <cell r="I40" t="str">
            <v>SIT</v>
          </cell>
          <cell r="J40" t="str">
            <v>SIT</v>
          </cell>
          <cell r="K40" t="str">
            <v>12_28</v>
          </cell>
          <cell r="L40" t="str">
            <v>SIT</v>
          </cell>
          <cell r="M40" t="str">
            <v>15,8X8 PL</v>
          </cell>
          <cell r="N40" t="str">
            <v>SLP</v>
          </cell>
          <cell r="O40" t="str">
            <v>16,9X10 AL</v>
          </cell>
          <cell r="P40">
            <v>17.149999999999999</v>
          </cell>
          <cell r="Q40">
            <v>17</v>
          </cell>
          <cell r="R40" t="str">
            <v>MB</v>
          </cell>
          <cell r="S40" t="str">
            <v>0-M-M</v>
          </cell>
          <cell r="T40" t="str">
            <v>SCA1</v>
          </cell>
          <cell r="U40" t="str">
            <v>SCA</v>
          </cell>
          <cell r="V40" t="str">
            <v>PROPIO</v>
          </cell>
          <cell r="W40" t="str">
            <v>BLANCO</v>
          </cell>
          <cell r="Z40">
            <v>4</v>
          </cell>
          <cell r="AA40" t="str">
            <v>SCA</v>
          </cell>
        </row>
        <row r="41">
          <cell r="B41" t="str">
            <v>GRANOLLERS-BATUA L'OLLA</v>
          </cell>
          <cell r="C41" t="str">
            <v>OSCAR ALARCON - XAVI ARANDA</v>
          </cell>
          <cell r="D41">
            <v>356</v>
          </cell>
          <cell r="E41">
            <v>3</v>
          </cell>
          <cell r="F41">
            <v>2</v>
          </cell>
          <cell r="G41" t="str">
            <v>PORSCHE</v>
          </cell>
          <cell r="H41">
            <v>6</v>
          </cell>
          <cell r="I41" t="str">
            <v>SLP</v>
          </cell>
          <cell r="J41" t="str">
            <v>SIT</v>
          </cell>
          <cell r="K41" t="str">
            <v>12_30</v>
          </cell>
          <cell r="L41" t="str">
            <v>SLP</v>
          </cell>
          <cell r="M41" t="str">
            <v>15,8X9 AL</v>
          </cell>
          <cell r="N41" t="str">
            <v>SLP</v>
          </cell>
          <cell r="O41" t="str">
            <v>17,3X10 AL</v>
          </cell>
          <cell r="P41">
            <v>15.5</v>
          </cell>
          <cell r="Q41">
            <v>15.5</v>
          </cell>
          <cell r="R41" t="str">
            <v>MB</v>
          </cell>
          <cell r="S41" t="str">
            <v>0-0-I</v>
          </cell>
          <cell r="T41" t="str">
            <v>SIT1</v>
          </cell>
          <cell r="U41" t="str">
            <v>SIT</v>
          </cell>
          <cell r="V41" t="str">
            <v>PROPIO</v>
          </cell>
          <cell r="W41" t="str">
            <v>NEGRO</v>
          </cell>
          <cell r="Z41">
            <v>4</v>
          </cell>
          <cell r="AA41" t="str">
            <v>GT2</v>
          </cell>
        </row>
        <row r="42">
          <cell r="B42" t="str">
            <v>ESCUDERIA CRONO-3</v>
          </cell>
          <cell r="C42" t="str">
            <v>RAFAEL MUÑOZ - VICTOR LOPEZ</v>
          </cell>
          <cell r="D42">
            <v>181</v>
          </cell>
          <cell r="E42">
            <v>4</v>
          </cell>
          <cell r="K42" t="str">
            <v/>
          </cell>
          <cell r="Q42" t="str">
            <v/>
          </cell>
          <cell r="Z42">
            <v>4</v>
          </cell>
          <cell r="AA42" t="str">
            <v>GT2</v>
          </cell>
        </row>
        <row r="43">
          <cell r="B43" t="str">
            <v>MORPHEUS GASCLAVAT</v>
          </cell>
          <cell r="C43" t="str">
            <v>XAVIER BELLOT - CRISTIAN DIAZ</v>
          </cell>
          <cell r="D43">
            <v>113</v>
          </cell>
          <cell r="E43">
            <v>5</v>
          </cell>
          <cell r="F43">
            <v>1</v>
          </cell>
          <cell r="G43" t="str">
            <v>FORD GT</v>
          </cell>
          <cell r="H43">
            <v>1</v>
          </cell>
          <cell r="I43" t="str">
            <v>SLP</v>
          </cell>
          <cell r="J43" t="str">
            <v>SIT</v>
          </cell>
          <cell r="K43" t="str">
            <v>12_30</v>
          </cell>
          <cell r="L43" t="str">
            <v>3DSRP</v>
          </cell>
          <cell r="M43" t="str">
            <v>15,8X8 PL</v>
          </cell>
          <cell r="N43" t="str">
            <v>SLP</v>
          </cell>
          <cell r="O43" t="str">
            <v>17,7X10</v>
          </cell>
          <cell r="P43">
            <v>15.69</v>
          </cell>
          <cell r="Q43">
            <v>15.5</v>
          </cell>
          <cell r="R43" t="str">
            <v>MB</v>
          </cell>
          <cell r="S43" t="str">
            <v>0-M-M</v>
          </cell>
          <cell r="T43" t="str">
            <v>0-0-I</v>
          </cell>
          <cell r="U43" t="str">
            <v>MOR</v>
          </cell>
          <cell r="V43" t="str">
            <v>PROPIO</v>
          </cell>
          <cell r="W43" t="str">
            <v>NEGRO</v>
          </cell>
          <cell r="Z43">
            <v>4</v>
          </cell>
          <cell r="AA43" t="str">
            <v>GT2</v>
          </cell>
        </row>
        <row r="44">
          <cell r="B44" t="str">
            <v>GASCLAVAT-3</v>
          </cell>
          <cell r="C44" t="str">
            <v>FIDEL SOLER - JESUS JODAR</v>
          </cell>
          <cell r="D44">
            <v>0</v>
          </cell>
          <cell r="E44">
            <v>6</v>
          </cell>
          <cell r="F44">
            <v>6</v>
          </cell>
          <cell r="G44" t="str">
            <v>FORD GT</v>
          </cell>
          <cell r="H44">
            <v>3</v>
          </cell>
          <cell r="I44" t="str">
            <v>SLP</v>
          </cell>
          <cell r="J44" t="str">
            <v>SIT</v>
          </cell>
          <cell r="K44" t="str">
            <v>12_30</v>
          </cell>
          <cell r="L44" t="str">
            <v>SCA</v>
          </cell>
          <cell r="M44" t="str">
            <v>15,8X8 PL</v>
          </cell>
          <cell r="N44" t="str">
            <v>SLP</v>
          </cell>
          <cell r="O44" t="str">
            <v>16,5X10 AL</v>
          </cell>
          <cell r="P44">
            <v>15.52</v>
          </cell>
          <cell r="Q44">
            <v>15.5</v>
          </cell>
          <cell r="R44" t="str">
            <v>MB</v>
          </cell>
          <cell r="S44" t="str">
            <v>0-M-M</v>
          </cell>
          <cell r="T44" t="str">
            <v>SIT1</v>
          </cell>
          <cell r="U44" t="str">
            <v>MOR</v>
          </cell>
          <cell r="V44" t="str">
            <v>PROPIO</v>
          </cell>
          <cell r="W44" t="str">
            <v>NEGRO</v>
          </cell>
          <cell r="Z44">
            <v>4</v>
          </cell>
          <cell r="AA44" t="str">
            <v>GT2</v>
          </cell>
        </row>
        <row r="45">
          <cell r="C45" t="str">
            <v>--</v>
          </cell>
          <cell r="D45" t="str">
            <v>--</v>
          </cell>
          <cell r="E45" t="str">
            <v>--</v>
          </cell>
          <cell r="K45" t="str">
            <v/>
          </cell>
          <cell r="Q45" t="str">
            <v/>
          </cell>
          <cell r="Z45">
            <v>4</v>
          </cell>
          <cell r="AA45" t="str">
            <v/>
          </cell>
        </row>
        <row r="46">
          <cell r="C46" t="str">
            <v>--</v>
          </cell>
          <cell r="D46" t="str">
            <v>--</v>
          </cell>
          <cell r="E46" t="str">
            <v>--</v>
          </cell>
          <cell r="K46" t="str">
            <v/>
          </cell>
          <cell r="Q46" t="str">
            <v/>
          </cell>
          <cell r="Z46">
            <v>4</v>
          </cell>
          <cell r="AA46" t="str">
            <v/>
          </cell>
        </row>
        <row r="47">
          <cell r="C47" t="str">
            <v>--</v>
          </cell>
          <cell r="D47" t="str">
            <v>--</v>
          </cell>
          <cell r="E47" t="str">
            <v>--</v>
          </cell>
          <cell r="K47" t="str">
            <v/>
          </cell>
          <cell r="Q47" t="str">
            <v/>
          </cell>
          <cell r="Z47">
            <v>4</v>
          </cell>
          <cell r="AA47" t="str">
            <v/>
          </cell>
        </row>
        <row r="48">
          <cell r="C48" t="str">
            <v>--</v>
          </cell>
          <cell r="D48" t="str">
            <v>--</v>
          </cell>
          <cell r="E48" t="str">
            <v>--</v>
          </cell>
          <cell r="K48" t="str">
            <v/>
          </cell>
          <cell r="Q48" t="str">
            <v/>
          </cell>
          <cell r="Z48">
            <v>4</v>
          </cell>
          <cell r="AA48" t="str">
            <v/>
          </cell>
        </row>
        <row r="49">
          <cell r="B49" t="str">
            <v>TEAM - MANNSCHAFT    # 0 #</v>
          </cell>
          <cell r="C49" t="str">
            <v>PILOTOS</v>
          </cell>
          <cell r="D49" t="str">
            <v>PTS</v>
          </cell>
          <cell r="E49" t="str">
            <v>ORD</v>
          </cell>
          <cell r="F49" t="str">
            <v>LANE</v>
          </cell>
          <cell r="G49" t="str">
            <v>COCHE</v>
          </cell>
          <cell r="H49" t="str">
            <v>MOT</v>
          </cell>
          <cell r="I49" t="str">
            <v>PIÑON</v>
          </cell>
          <cell r="J49" t="str">
            <v>CORONA</v>
          </cell>
          <cell r="K49" t="str">
            <v>REL</v>
          </cell>
          <cell r="L49" t="str">
            <v>LL. DEL</v>
          </cell>
          <cell r="M49" t="str">
            <v>DIM-MAT</v>
          </cell>
          <cell r="N49" t="str">
            <v>LL. TRA</v>
          </cell>
          <cell r="O49" t="str">
            <v>DIM-MAT</v>
          </cell>
          <cell r="P49" t="str">
            <v>PESO</v>
          </cell>
          <cell r="Q49" t="str">
            <v>MIN W.</v>
          </cell>
          <cell r="R49" t="str">
            <v>TRENCILLAS</v>
          </cell>
          <cell r="S49" t="str">
            <v>SUSP.</v>
          </cell>
          <cell r="T49" t="str">
            <v>BANCADA</v>
          </cell>
          <cell r="U49" t="str">
            <v>CHASIS</v>
          </cell>
          <cell r="X49" t="str">
            <v>NEUM.</v>
          </cell>
          <cell r="Y49" t="str">
            <v>OBS. VERIFICACIONES</v>
          </cell>
          <cell r="Z49" t="str">
            <v>Manga</v>
          </cell>
          <cell r="AA49" t="str">
            <v>COPA</v>
          </cell>
        </row>
        <row r="50">
          <cell r="C50" t="str">
            <v>--</v>
          </cell>
          <cell r="D50" t="str">
            <v>--</v>
          </cell>
          <cell r="E50" t="str">
            <v>--</v>
          </cell>
          <cell r="K50" t="str">
            <v/>
          </cell>
          <cell r="Q50" t="str">
            <v/>
          </cell>
          <cell r="Z50">
            <v>5</v>
          </cell>
          <cell r="AA50" t="str">
            <v/>
          </cell>
        </row>
        <row r="51">
          <cell r="C51" t="str">
            <v>--</v>
          </cell>
          <cell r="D51" t="str">
            <v>--</v>
          </cell>
          <cell r="E51" t="str">
            <v>--</v>
          </cell>
          <cell r="K51" t="str">
            <v/>
          </cell>
          <cell r="Q51" t="str">
            <v/>
          </cell>
          <cell r="Z51">
            <v>5</v>
          </cell>
          <cell r="AA51" t="str">
            <v/>
          </cell>
        </row>
        <row r="52">
          <cell r="C52" t="str">
            <v>--</v>
          </cell>
          <cell r="D52" t="str">
            <v>--</v>
          </cell>
          <cell r="E52" t="str">
            <v>--</v>
          </cell>
          <cell r="K52" t="str">
            <v/>
          </cell>
          <cell r="Q52" t="str">
            <v/>
          </cell>
          <cell r="Z52">
            <v>5</v>
          </cell>
          <cell r="AA52" t="str">
            <v/>
          </cell>
        </row>
        <row r="53">
          <cell r="C53" t="str">
            <v>--</v>
          </cell>
          <cell r="D53" t="str">
            <v>--</v>
          </cell>
          <cell r="E53" t="str">
            <v>--</v>
          </cell>
          <cell r="K53" t="str">
            <v/>
          </cell>
          <cell r="Q53" t="str">
            <v/>
          </cell>
          <cell r="Z53">
            <v>5</v>
          </cell>
          <cell r="AA53" t="str">
            <v/>
          </cell>
        </row>
        <row r="54">
          <cell r="C54" t="str">
            <v>--</v>
          </cell>
          <cell r="D54" t="str">
            <v>--</v>
          </cell>
          <cell r="E54" t="str">
            <v>--</v>
          </cell>
          <cell r="K54" t="str">
            <v/>
          </cell>
          <cell r="Q54" t="str">
            <v/>
          </cell>
          <cell r="Z54">
            <v>5</v>
          </cell>
          <cell r="AA54" t="str">
            <v/>
          </cell>
        </row>
        <row r="55">
          <cell r="C55" t="str">
            <v>--</v>
          </cell>
          <cell r="D55" t="str">
            <v>--</v>
          </cell>
          <cell r="E55" t="str">
            <v>--</v>
          </cell>
          <cell r="K55" t="str">
            <v/>
          </cell>
          <cell r="Q55" t="str">
            <v/>
          </cell>
          <cell r="Z55">
            <v>5</v>
          </cell>
          <cell r="AA55" t="str">
            <v/>
          </cell>
        </row>
        <row r="56">
          <cell r="C56" t="str">
            <v>--</v>
          </cell>
          <cell r="D56" t="str">
            <v>--</v>
          </cell>
          <cell r="E56" t="str">
            <v>--</v>
          </cell>
          <cell r="K56" t="str">
            <v/>
          </cell>
          <cell r="Q56" t="str">
            <v/>
          </cell>
          <cell r="Z56">
            <v>5</v>
          </cell>
          <cell r="AA56" t="str">
            <v/>
          </cell>
        </row>
        <row r="57">
          <cell r="C57" t="str">
            <v>--</v>
          </cell>
          <cell r="D57" t="str">
            <v>--</v>
          </cell>
          <cell r="E57" t="str">
            <v>--</v>
          </cell>
          <cell r="K57" t="str">
            <v/>
          </cell>
          <cell r="Q57" t="str">
            <v/>
          </cell>
          <cell r="Z57">
            <v>5</v>
          </cell>
          <cell r="AA57" t="str">
            <v/>
          </cell>
        </row>
        <row r="58">
          <cell r="C58" t="str">
            <v>--</v>
          </cell>
          <cell r="D58" t="str">
            <v>--</v>
          </cell>
          <cell r="E58" t="str">
            <v>--</v>
          </cell>
          <cell r="K58" t="str">
            <v/>
          </cell>
          <cell r="Q58" t="str">
            <v/>
          </cell>
          <cell r="Z58">
            <v>5</v>
          </cell>
          <cell r="AA58" t="str">
            <v/>
          </cell>
        </row>
        <row r="59">
          <cell r="C59" t="str">
            <v>--</v>
          </cell>
          <cell r="D59" t="str">
            <v>--</v>
          </cell>
          <cell r="E59" t="str">
            <v>--</v>
          </cell>
          <cell r="K59" t="str">
            <v/>
          </cell>
          <cell r="Q59" t="str">
            <v/>
          </cell>
          <cell r="Z59">
            <v>5</v>
          </cell>
          <cell r="AA59" t="str">
            <v/>
          </cell>
        </row>
        <row r="60">
          <cell r="B60" t="str">
            <v>TEAM - MANNSCHAFT    # 0 #</v>
          </cell>
          <cell r="C60" t="str">
            <v>PILOTOS</v>
          </cell>
          <cell r="D60" t="str">
            <v>PTS</v>
          </cell>
          <cell r="E60" t="str">
            <v>ORD</v>
          </cell>
          <cell r="F60" t="str">
            <v>LANE</v>
          </cell>
          <cell r="G60" t="str">
            <v>COCHE</v>
          </cell>
          <cell r="H60" t="str">
            <v>MOT</v>
          </cell>
          <cell r="I60" t="str">
            <v>PIÑON</v>
          </cell>
          <cell r="J60" t="str">
            <v>CORONA</v>
          </cell>
          <cell r="K60" t="str">
            <v>REL</v>
          </cell>
          <cell r="L60" t="str">
            <v>LL. DEL</v>
          </cell>
          <cell r="M60" t="str">
            <v>DIM-MAT</v>
          </cell>
          <cell r="N60" t="str">
            <v>LL. TRA</v>
          </cell>
          <cell r="O60" t="str">
            <v>DIM-MAT</v>
          </cell>
          <cell r="P60" t="str">
            <v>PESO</v>
          </cell>
          <cell r="Q60" t="str">
            <v>MIN W.</v>
          </cell>
          <cell r="R60" t="str">
            <v>TRENCILLAS</v>
          </cell>
          <cell r="S60" t="str">
            <v>SUSP.</v>
          </cell>
          <cell r="T60" t="str">
            <v>BANCADA</v>
          </cell>
          <cell r="U60" t="str">
            <v>CHASIS</v>
          </cell>
          <cell r="X60" t="str">
            <v>NEUM.</v>
          </cell>
          <cell r="Y60" t="str">
            <v>OBS. VERIFICACIONES</v>
          </cell>
          <cell r="Z60" t="str">
            <v>Manga</v>
          </cell>
          <cell r="AA60" t="str">
            <v>COPA</v>
          </cell>
        </row>
        <row r="61">
          <cell r="C61" t="str">
            <v>--</v>
          </cell>
          <cell r="D61" t="str">
            <v>--</v>
          </cell>
          <cell r="E61" t="str">
            <v>--</v>
          </cell>
          <cell r="K61" t="str">
            <v/>
          </cell>
          <cell r="Q61" t="str">
            <v/>
          </cell>
          <cell r="Z61">
            <v>6</v>
          </cell>
          <cell r="AA61" t="str">
            <v/>
          </cell>
        </row>
        <row r="62">
          <cell r="C62" t="str">
            <v>--</v>
          </cell>
          <cell r="D62" t="str">
            <v>--</v>
          </cell>
          <cell r="E62" t="str">
            <v>--</v>
          </cell>
          <cell r="K62" t="str">
            <v/>
          </cell>
          <cell r="Q62" t="str">
            <v/>
          </cell>
          <cell r="Z62">
            <v>6</v>
          </cell>
          <cell r="AA62" t="str">
            <v/>
          </cell>
        </row>
        <row r="63">
          <cell r="C63" t="str">
            <v>--</v>
          </cell>
          <cell r="D63" t="str">
            <v>--</v>
          </cell>
          <cell r="E63" t="str">
            <v>--</v>
          </cell>
          <cell r="K63" t="str">
            <v/>
          </cell>
          <cell r="Q63" t="str">
            <v/>
          </cell>
          <cell r="Z63">
            <v>6</v>
          </cell>
          <cell r="AA63" t="str">
            <v/>
          </cell>
        </row>
        <row r="64">
          <cell r="C64" t="str">
            <v>--</v>
          </cell>
          <cell r="D64" t="str">
            <v>--</v>
          </cell>
          <cell r="E64" t="str">
            <v>--</v>
          </cell>
          <cell r="K64" t="str">
            <v/>
          </cell>
          <cell r="Q64" t="str">
            <v/>
          </cell>
          <cell r="Z64">
            <v>6</v>
          </cell>
          <cell r="AA64" t="str">
            <v/>
          </cell>
        </row>
        <row r="65">
          <cell r="C65" t="str">
            <v>--</v>
          </cell>
          <cell r="D65" t="str">
            <v>--</v>
          </cell>
          <cell r="E65" t="str">
            <v>--</v>
          </cell>
          <cell r="K65" t="str">
            <v/>
          </cell>
          <cell r="Q65" t="str">
            <v/>
          </cell>
          <cell r="Z65">
            <v>6</v>
          </cell>
          <cell r="AA65" t="str">
            <v/>
          </cell>
        </row>
        <row r="66">
          <cell r="C66" t="str">
            <v>--</v>
          </cell>
          <cell r="D66" t="str">
            <v>--</v>
          </cell>
          <cell r="E66" t="str">
            <v>--</v>
          </cell>
          <cell r="K66" t="str">
            <v/>
          </cell>
          <cell r="Q66" t="str">
            <v/>
          </cell>
          <cell r="Z66">
            <v>6</v>
          </cell>
          <cell r="AA66" t="str">
            <v/>
          </cell>
        </row>
        <row r="67">
          <cell r="C67" t="str">
            <v>--</v>
          </cell>
          <cell r="D67" t="str">
            <v>--</v>
          </cell>
          <cell r="E67" t="str">
            <v>--</v>
          </cell>
          <cell r="K67" t="str">
            <v/>
          </cell>
          <cell r="Q67" t="str">
            <v/>
          </cell>
          <cell r="Z67">
            <v>6</v>
          </cell>
          <cell r="AA67" t="str">
            <v/>
          </cell>
        </row>
        <row r="68">
          <cell r="C68" t="str">
            <v>--</v>
          </cell>
          <cell r="D68" t="str">
            <v>--</v>
          </cell>
          <cell r="E68" t="str">
            <v>--</v>
          </cell>
          <cell r="K68" t="str">
            <v/>
          </cell>
          <cell r="Q68" t="str">
            <v/>
          </cell>
          <cell r="Z68">
            <v>6</v>
          </cell>
          <cell r="AA68" t="str">
            <v/>
          </cell>
        </row>
        <row r="69">
          <cell r="C69" t="str">
            <v>--</v>
          </cell>
          <cell r="D69" t="str">
            <v>--</v>
          </cell>
          <cell r="E69" t="str">
            <v>--</v>
          </cell>
          <cell r="K69" t="str">
            <v/>
          </cell>
          <cell r="Q69" t="str">
            <v/>
          </cell>
          <cell r="Z69">
            <v>6</v>
          </cell>
          <cell r="AA69" t="str">
            <v/>
          </cell>
        </row>
        <row r="70">
          <cell r="C70" t="str">
            <v>--</v>
          </cell>
          <cell r="D70" t="str">
            <v>--</v>
          </cell>
          <cell r="E70" t="str">
            <v>--</v>
          </cell>
          <cell r="K70" t="str">
            <v/>
          </cell>
          <cell r="Q70" t="str">
            <v/>
          </cell>
          <cell r="Z70">
            <v>6</v>
          </cell>
          <cell r="AA70" t="str">
            <v/>
          </cell>
        </row>
        <row r="71">
          <cell r="B71" t="str">
            <v>TEAM - MANNSCHAFT    # 0 #</v>
          </cell>
          <cell r="C71" t="str">
            <v>PILOTOS</v>
          </cell>
          <cell r="D71" t="str">
            <v>PTS</v>
          </cell>
          <cell r="E71" t="str">
            <v>ORD</v>
          </cell>
          <cell r="F71" t="str">
            <v>LANE</v>
          </cell>
          <cell r="G71" t="str">
            <v>COCHE</v>
          </cell>
          <cell r="H71" t="str">
            <v>MOT</v>
          </cell>
          <cell r="I71" t="str">
            <v>PIÑON</v>
          </cell>
          <cell r="J71" t="str">
            <v>CORONA</v>
          </cell>
          <cell r="K71" t="str">
            <v>REL</v>
          </cell>
          <cell r="L71" t="str">
            <v>LL. DEL</v>
          </cell>
          <cell r="M71" t="str">
            <v>DIM-MAT</v>
          </cell>
          <cell r="N71" t="str">
            <v>LL. TRA</v>
          </cell>
          <cell r="O71" t="str">
            <v>DIM-MAT</v>
          </cell>
          <cell r="P71" t="str">
            <v>PESO</v>
          </cell>
          <cell r="Q71" t="str">
            <v>MIN W.</v>
          </cell>
          <cell r="R71" t="str">
            <v>TRENCILLAS</v>
          </cell>
          <cell r="S71" t="str">
            <v>SUSP.</v>
          </cell>
          <cell r="T71" t="str">
            <v>BANCADA</v>
          </cell>
          <cell r="U71" t="str">
            <v>CHASIS</v>
          </cell>
          <cell r="X71" t="str">
            <v>NEUM.</v>
          </cell>
          <cell r="Y71" t="str">
            <v>OBS. VERIFICACIONES</v>
          </cell>
          <cell r="Z71" t="str">
            <v>Manga</v>
          </cell>
          <cell r="AA71" t="str">
            <v>COPA</v>
          </cell>
        </row>
        <row r="72">
          <cell r="C72" t="str">
            <v>--</v>
          </cell>
          <cell r="D72" t="str">
            <v>--</v>
          </cell>
          <cell r="E72" t="str">
            <v>--</v>
          </cell>
          <cell r="K72" t="str">
            <v/>
          </cell>
          <cell r="Q72" t="str">
            <v/>
          </cell>
          <cell r="Z72">
            <v>7</v>
          </cell>
          <cell r="AA72" t="str">
            <v/>
          </cell>
        </row>
        <row r="73">
          <cell r="C73" t="str">
            <v>--</v>
          </cell>
          <cell r="D73" t="str">
            <v>--</v>
          </cell>
          <cell r="E73" t="str">
            <v>--</v>
          </cell>
          <cell r="K73" t="str">
            <v/>
          </cell>
          <cell r="Q73" t="str">
            <v/>
          </cell>
          <cell r="Z73">
            <v>7</v>
          </cell>
          <cell r="AA73" t="str">
            <v/>
          </cell>
        </row>
        <row r="74">
          <cell r="C74" t="str">
            <v>--</v>
          </cell>
          <cell r="D74" t="str">
            <v>--</v>
          </cell>
          <cell r="E74" t="str">
            <v>--</v>
          </cell>
          <cell r="K74" t="str">
            <v/>
          </cell>
          <cell r="Q74" t="str">
            <v/>
          </cell>
          <cell r="Z74">
            <v>7</v>
          </cell>
          <cell r="AA74" t="str">
            <v/>
          </cell>
        </row>
        <row r="75">
          <cell r="C75" t="str">
            <v>--</v>
          </cell>
          <cell r="D75" t="str">
            <v>--</v>
          </cell>
          <cell r="E75" t="str">
            <v>--</v>
          </cell>
          <cell r="K75" t="str">
            <v/>
          </cell>
          <cell r="Q75" t="str">
            <v/>
          </cell>
          <cell r="Z75">
            <v>7</v>
          </cell>
          <cell r="AA75" t="str">
            <v/>
          </cell>
        </row>
        <row r="76">
          <cell r="C76" t="str">
            <v>--</v>
          </cell>
          <cell r="D76" t="str">
            <v>--</v>
          </cell>
          <cell r="E76" t="str">
            <v>--</v>
          </cell>
          <cell r="K76" t="str">
            <v/>
          </cell>
          <cell r="Q76" t="str">
            <v/>
          </cell>
          <cell r="Z76">
            <v>7</v>
          </cell>
          <cell r="AA76" t="str">
            <v/>
          </cell>
        </row>
        <row r="77">
          <cell r="C77" t="str">
            <v>--</v>
          </cell>
          <cell r="D77" t="str">
            <v>--</v>
          </cell>
          <cell r="E77" t="str">
            <v>--</v>
          </cell>
          <cell r="K77" t="str">
            <v/>
          </cell>
          <cell r="Q77" t="str">
            <v/>
          </cell>
          <cell r="Z77">
            <v>7</v>
          </cell>
          <cell r="AA77" t="str">
            <v/>
          </cell>
        </row>
        <row r="78">
          <cell r="C78" t="str">
            <v>--</v>
          </cell>
          <cell r="D78" t="str">
            <v>--</v>
          </cell>
          <cell r="E78" t="str">
            <v>--</v>
          </cell>
          <cell r="K78" t="str">
            <v/>
          </cell>
          <cell r="Q78" t="str">
            <v/>
          </cell>
          <cell r="Z78">
            <v>7</v>
          </cell>
          <cell r="AA78" t="str">
            <v/>
          </cell>
        </row>
        <row r="79">
          <cell r="C79" t="str">
            <v>--</v>
          </cell>
          <cell r="D79" t="str">
            <v>--</v>
          </cell>
          <cell r="E79" t="str">
            <v>--</v>
          </cell>
          <cell r="K79" t="str">
            <v/>
          </cell>
          <cell r="Q79" t="str">
            <v/>
          </cell>
          <cell r="Z79">
            <v>7</v>
          </cell>
          <cell r="AA79" t="str">
            <v/>
          </cell>
        </row>
        <row r="80">
          <cell r="C80" t="str">
            <v>--</v>
          </cell>
          <cell r="D80" t="str">
            <v>--</v>
          </cell>
          <cell r="E80" t="str">
            <v>--</v>
          </cell>
          <cell r="K80" t="str">
            <v/>
          </cell>
          <cell r="Q80" t="str">
            <v/>
          </cell>
          <cell r="Z80">
            <v>7</v>
          </cell>
          <cell r="AA80" t="str">
            <v/>
          </cell>
        </row>
        <row r="81">
          <cell r="C81" t="str">
            <v>--</v>
          </cell>
          <cell r="D81" t="str">
            <v>--</v>
          </cell>
          <cell r="E81" t="str">
            <v>--</v>
          </cell>
          <cell r="K81" t="str">
            <v/>
          </cell>
          <cell r="Q81" t="str">
            <v/>
          </cell>
          <cell r="Z81">
            <v>7</v>
          </cell>
          <cell r="AA81" t="str">
            <v/>
          </cell>
        </row>
      </sheetData>
      <sheetData sheetId="3" refreshError="1"/>
      <sheetData sheetId="4">
        <row r="1">
          <cell r="A1" t="str">
            <v>Posición</v>
          </cell>
          <cell r="B1" t="str">
            <v xml:space="preserve">Nombre </v>
          </cell>
          <cell r="C1" t="str">
            <v>Vueltas</v>
          </cell>
          <cell r="D1" t="str">
            <v>Coma</v>
          </cell>
          <cell r="E1" t="str">
            <v>Pista 1</v>
          </cell>
          <cell r="F1" t="str">
            <v>Pista 2</v>
          </cell>
          <cell r="G1" t="str">
            <v>Pista 3</v>
          </cell>
          <cell r="H1" t="str">
            <v>Pista 4</v>
          </cell>
          <cell r="I1" t="str">
            <v>Pista 5</v>
          </cell>
          <cell r="J1" t="str">
            <v>Pista 6</v>
          </cell>
          <cell r="O1" t="str">
            <v>EQUIP</v>
          </cell>
          <cell r="P1" t="str">
            <v>Pista 1</v>
          </cell>
          <cell r="Q1" t="str">
            <v>Pista 2</v>
          </cell>
          <cell r="R1" t="str">
            <v>Pista 3</v>
          </cell>
          <cell r="S1" t="str">
            <v>Pista 4</v>
          </cell>
          <cell r="T1" t="str">
            <v>Pista 5</v>
          </cell>
          <cell r="U1" t="str">
            <v>Pista 6</v>
          </cell>
          <cell r="V1" t="str">
            <v>Pista 7</v>
          </cell>
          <cell r="W1" t="str">
            <v>Pista 8</v>
          </cell>
          <cell r="X1" t="str">
            <v>VOLTES</v>
          </cell>
          <cell r="Y1" t="str">
            <v>COMA</v>
          </cell>
          <cell r="Z1" t="str">
            <v>VRP1</v>
          </cell>
          <cell r="AA1" t="str">
            <v>VRP2</v>
          </cell>
          <cell r="AB1" t="str">
            <v>VRP3</v>
          </cell>
          <cell r="AC1" t="str">
            <v>VRP4</v>
          </cell>
          <cell r="AD1" t="str">
            <v>VRP5</v>
          </cell>
          <cell r="AE1" t="str">
            <v>VRP6</v>
          </cell>
          <cell r="AF1" t="str">
            <v>VRP7</v>
          </cell>
          <cell r="AG1" t="str">
            <v>VRP8</v>
          </cell>
          <cell r="AH1" t="str">
            <v>VMP1</v>
          </cell>
          <cell r="AI1" t="str">
            <v>VMP2</v>
          </cell>
          <cell r="AJ1" t="str">
            <v>VMP3</v>
          </cell>
          <cell r="AK1" t="str">
            <v>VMP4</v>
          </cell>
          <cell r="AL1" t="str">
            <v>VMP5</v>
          </cell>
          <cell r="AM1" t="str">
            <v>VMP6</v>
          </cell>
          <cell r="AN1" t="str">
            <v>VMP7</v>
          </cell>
          <cell r="AO1" t="str">
            <v>VMP8</v>
          </cell>
          <cell r="AP1" t="str">
            <v>VLP1</v>
          </cell>
          <cell r="AQ1" t="str">
            <v>VLP2</v>
          </cell>
          <cell r="AR1" t="str">
            <v>VLP3</v>
          </cell>
          <cell r="AS1" t="str">
            <v>VLP4</v>
          </cell>
          <cell r="AT1" t="str">
            <v>VLP5</v>
          </cell>
          <cell r="AU1" t="str">
            <v>VLP6</v>
          </cell>
          <cell r="AV1" t="str">
            <v>VLP7</v>
          </cell>
          <cell r="AW1" t="str">
            <v>VLP8</v>
          </cell>
          <cell r="AX1" t="str">
            <v>CAIGUDES</v>
          </cell>
        </row>
        <row r="2">
          <cell r="A2">
            <v>1</v>
          </cell>
          <cell r="B2" t="str">
            <v>EL SOT-TEAM</v>
          </cell>
          <cell r="C2">
            <v>467</v>
          </cell>
          <cell r="D2" t="str">
            <v>,082</v>
          </cell>
          <cell r="E2">
            <v>78</v>
          </cell>
          <cell r="F2">
            <v>79</v>
          </cell>
          <cell r="G2">
            <v>80</v>
          </cell>
          <cell r="H2">
            <v>76</v>
          </cell>
          <cell r="I2">
            <v>78</v>
          </cell>
          <cell r="J2">
            <v>76</v>
          </cell>
          <cell r="O2" t="str">
            <v>EL SOT-TEAM</v>
          </cell>
          <cell r="P2">
            <v>78</v>
          </cell>
          <cell r="Q2">
            <v>79</v>
          </cell>
          <cell r="R2">
            <v>80</v>
          </cell>
          <cell r="S2">
            <v>76</v>
          </cell>
          <cell r="T2">
            <v>78</v>
          </cell>
          <cell r="U2">
            <v>76</v>
          </cell>
          <cell r="V2">
            <v>0</v>
          </cell>
          <cell r="W2">
            <v>0</v>
          </cell>
          <cell r="X2">
            <v>467.08199999999999</v>
          </cell>
          <cell r="Y2" t="str">
            <v>,082</v>
          </cell>
          <cell r="Z2">
            <v>11.132</v>
          </cell>
          <cell r="AA2">
            <v>11.115</v>
          </cell>
          <cell r="AB2">
            <v>11.146000000000001</v>
          </cell>
          <cell r="AC2">
            <v>11.391999999999999</v>
          </cell>
          <cell r="AD2">
            <v>11.38</v>
          </cell>
          <cell r="AE2">
            <v>11.738</v>
          </cell>
          <cell r="AF2">
            <v>0</v>
          </cell>
          <cell r="AG2">
            <v>0</v>
          </cell>
          <cell r="AH2">
            <v>11.436</v>
          </cell>
          <cell r="AI2">
            <v>11.394</v>
          </cell>
          <cell r="AJ2">
            <v>11.308</v>
          </cell>
          <cell r="AK2">
            <v>11.896000000000001</v>
          </cell>
          <cell r="AL2">
            <v>11.507999999999999</v>
          </cell>
          <cell r="AM2">
            <v>11.92</v>
          </cell>
          <cell r="AN2">
            <v>0</v>
          </cell>
          <cell r="AO2">
            <v>0</v>
          </cell>
          <cell r="AP2" t="str">
            <v>(3) 14,86</v>
          </cell>
          <cell r="AQ2" t="str">
            <v>(2) 15,89</v>
          </cell>
          <cell r="AR2" t="str">
            <v>(0) 11,65</v>
          </cell>
          <cell r="AS2" t="str">
            <v>(6) 17,13</v>
          </cell>
          <cell r="AT2" t="str">
            <v>(0) 11,75</v>
          </cell>
          <cell r="AU2" t="str">
            <v>(1) 13,90</v>
          </cell>
          <cell r="AV2">
            <v>0</v>
          </cell>
          <cell r="AW2">
            <v>0</v>
          </cell>
          <cell r="AX2" t="str">
            <v>(12)</v>
          </cell>
        </row>
        <row r="3">
          <cell r="B3" t="str">
            <v>Vuelta rápida</v>
          </cell>
          <cell r="E3">
            <v>11.132</v>
          </cell>
          <cell r="F3">
            <v>11.115</v>
          </cell>
          <cell r="G3">
            <v>11.146000000000001</v>
          </cell>
          <cell r="H3">
            <v>11.391999999999999</v>
          </cell>
          <cell r="I3">
            <v>11.38</v>
          </cell>
          <cell r="J3">
            <v>11.738</v>
          </cell>
          <cell r="O3" t="str">
            <v>CRIC-CRAC</v>
          </cell>
          <cell r="P3">
            <v>79</v>
          </cell>
          <cell r="Q3">
            <v>81</v>
          </cell>
          <cell r="R3">
            <v>77</v>
          </cell>
          <cell r="S3">
            <v>78</v>
          </cell>
          <cell r="T3">
            <v>78</v>
          </cell>
          <cell r="U3">
            <v>74</v>
          </cell>
          <cell r="V3">
            <v>0</v>
          </cell>
          <cell r="W3">
            <v>0</v>
          </cell>
          <cell r="X3">
            <v>467.02100000000002</v>
          </cell>
          <cell r="Y3" t="str">
            <v>,021</v>
          </cell>
          <cell r="Z3">
            <v>11.16</v>
          </cell>
          <cell r="AA3">
            <v>10.961</v>
          </cell>
          <cell r="AB3">
            <v>11.287000000000001</v>
          </cell>
          <cell r="AC3">
            <v>11.249000000000001</v>
          </cell>
          <cell r="AD3">
            <v>11.465999999999999</v>
          </cell>
          <cell r="AE3">
            <v>11.61</v>
          </cell>
          <cell r="AF3">
            <v>0</v>
          </cell>
          <cell r="AG3">
            <v>0</v>
          </cell>
          <cell r="AH3">
            <v>11.481999999999999</v>
          </cell>
          <cell r="AI3">
            <v>11.208</v>
          </cell>
          <cell r="AJ3">
            <v>11.659000000000001</v>
          </cell>
          <cell r="AK3">
            <v>11.542999999999999</v>
          </cell>
          <cell r="AL3">
            <v>11.622</v>
          </cell>
          <cell r="AM3">
            <v>12.010999999999999</v>
          </cell>
          <cell r="AN3">
            <v>0</v>
          </cell>
          <cell r="AO3">
            <v>0</v>
          </cell>
          <cell r="AP3" t="str">
            <v>(3) 13,98</v>
          </cell>
          <cell r="AQ3" t="str">
            <v>(1) 14,26</v>
          </cell>
          <cell r="AR3" t="str">
            <v>(4) 16,12</v>
          </cell>
          <cell r="AS3" t="str">
            <v>(4) 14,83</v>
          </cell>
          <cell r="AT3" t="str">
            <v>(0) 12,13</v>
          </cell>
          <cell r="AU3" t="str">
            <v>(7) 14,76</v>
          </cell>
          <cell r="AV3">
            <v>0</v>
          </cell>
          <cell r="AW3">
            <v>0</v>
          </cell>
          <cell r="AX3" t="str">
            <v>(19)</v>
          </cell>
        </row>
        <row r="4">
          <cell r="B4" t="str">
            <v>Vuelta media</v>
          </cell>
          <cell r="E4">
            <v>11.436</v>
          </cell>
          <cell r="F4">
            <v>11.394</v>
          </cell>
          <cell r="G4">
            <v>11.308</v>
          </cell>
          <cell r="H4">
            <v>11.896000000000001</v>
          </cell>
          <cell r="I4">
            <v>11.507999999999999</v>
          </cell>
          <cell r="J4">
            <v>11.92</v>
          </cell>
          <cell r="O4" t="str">
            <v>DREAM SLOT-ESTEL·LATS</v>
          </cell>
          <cell r="P4">
            <v>80</v>
          </cell>
          <cell r="Q4">
            <v>79</v>
          </cell>
          <cell r="R4">
            <v>77</v>
          </cell>
          <cell r="S4">
            <v>77</v>
          </cell>
          <cell r="T4">
            <v>76</v>
          </cell>
          <cell r="U4">
            <v>75</v>
          </cell>
          <cell r="V4">
            <v>0</v>
          </cell>
          <cell r="W4">
            <v>0</v>
          </cell>
          <cell r="X4">
            <v>464.07400000000001</v>
          </cell>
          <cell r="Y4" t="str">
            <v>,074</v>
          </cell>
          <cell r="Z4">
            <v>10.987</v>
          </cell>
          <cell r="AA4">
            <v>11.09</v>
          </cell>
          <cell r="AB4">
            <v>11.180999999999999</v>
          </cell>
          <cell r="AC4">
            <v>11.256</v>
          </cell>
          <cell r="AD4">
            <v>11.503</v>
          </cell>
          <cell r="AE4">
            <v>11.612</v>
          </cell>
          <cell r="AF4">
            <v>0</v>
          </cell>
          <cell r="AG4">
            <v>0</v>
          </cell>
          <cell r="AH4">
            <v>11.388999999999999</v>
          </cell>
          <cell r="AI4">
            <v>11.407</v>
          </cell>
          <cell r="AJ4">
            <v>11.645</v>
          </cell>
          <cell r="AK4">
            <v>11.66</v>
          </cell>
          <cell r="AL4">
            <v>11.731999999999999</v>
          </cell>
          <cell r="AM4">
            <v>12.037000000000001</v>
          </cell>
          <cell r="AN4">
            <v>0</v>
          </cell>
          <cell r="AO4">
            <v>0</v>
          </cell>
          <cell r="AP4" t="str">
            <v>(5) 14,58</v>
          </cell>
          <cell r="AQ4" t="str">
            <v>(3) 16,78</v>
          </cell>
          <cell r="AR4" t="str">
            <v>(5) 16,21</v>
          </cell>
          <cell r="AS4" t="str">
            <v>(6) 26,87</v>
          </cell>
          <cell r="AT4" t="str">
            <v>(2) 14,76</v>
          </cell>
          <cell r="AU4" t="str">
            <v>(4) 17,60</v>
          </cell>
          <cell r="AV4">
            <v>0</v>
          </cell>
          <cell r="AW4">
            <v>0</v>
          </cell>
          <cell r="AX4" t="str">
            <v>(25)</v>
          </cell>
        </row>
        <row r="5">
          <cell r="B5" t="str">
            <v>Vuelta   lenta</v>
          </cell>
          <cell r="C5" t="str">
            <v>(12)</v>
          </cell>
          <cell r="E5" t="str">
            <v>(3) 14,86</v>
          </cell>
          <cell r="F5" t="str">
            <v>(2) 15,89</v>
          </cell>
          <cell r="G5" t="str">
            <v>(0) 11,65</v>
          </cell>
          <cell r="H5" t="str">
            <v>(6) 17,13</v>
          </cell>
          <cell r="I5" t="str">
            <v>(0) 11,75</v>
          </cell>
          <cell r="J5" t="str">
            <v>(1) 13,90</v>
          </cell>
          <cell r="O5" t="str">
            <v>STP-RACING</v>
          </cell>
          <cell r="P5">
            <v>78</v>
          </cell>
          <cell r="Q5">
            <v>79</v>
          </cell>
          <cell r="R5">
            <v>78</v>
          </cell>
          <cell r="S5">
            <v>79</v>
          </cell>
          <cell r="T5">
            <v>76</v>
          </cell>
          <cell r="U5">
            <v>74</v>
          </cell>
          <cell r="V5">
            <v>0</v>
          </cell>
          <cell r="W5">
            <v>0</v>
          </cell>
          <cell r="X5">
            <v>464.029</v>
          </cell>
          <cell r="Y5" t="str">
            <v>,029</v>
          </cell>
          <cell r="Z5">
            <v>11.209</v>
          </cell>
          <cell r="AA5">
            <v>11.161</v>
          </cell>
          <cell r="AB5">
            <v>11.223000000000001</v>
          </cell>
          <cell r="AC5">
            <v>11.292</v>
          </cell>
          <cell r="AD5">
            <v>11.468999999999999</v>
          </cell>
          <cell r="AE5">
            <v>11.717000000000001</v>
          </cell>
          <cell r="AF5">
            <v>0</v>
          </cell>
          <cell r="AG5">
            <v>0</v>
          </cell>
          <cell r="AH5">
            <v>11.519</v>
          </cell>
          <cell r="AI5">
            <v>11.496</v>
          </cell>
          <cell r="AJ5">
            <v>11.537000000000001</v>
          </cell>
          <cell r="AK5">
            <v>11.484</v>
          </cell>
          <cell r="AL5">
            <v>11.851000000000001</v>
          </cell>
          <cell r="AM5">
            <v>12.026</v>
          </cell>
          <cell r="AN5">
            <v>0</v>
          </cell>
          <cell r="AO5">
            <v>0</v>
          </cell>
          <cell r="AP5" t="str">
            <v>(3) 15,27</v>
          </cell>
          <cell r="AQ5" t="str">
            <v>(2) 13,76</v>
          </cell>
          <cell r="AR5" t="str">
            <v>(3) 14,75</v>
          </cell>
          <cell r="AS5" t="str">
            <v>(0) 11,76</v>
          </cell>
          <cell r="AT5" t="str">
            <v>(4) 15,50</v>
          </cell>
          <cell r="AU5" t="str">
            <v>(1) 14,70</v>
          </cell>
          <cell r="AV5">
            <v>0</v>
          </cell>
          <cell r="AW5">
            <v>0</v>
          </cell>
          <cell r="AX5" t="str">
            <v>(13)</v>
          </cell>
        </row>
        <row r="6">
          <cell r="A6">
            <v>2</v>
          </cell>
          <cell r="B6" t="str">
            <v>CRIC-CRAC</v>
          </cell>
          <cell r="C6">
            <v>467</v>
          </cell>
          <cell r="D6" t="str">
            <v>,021</v>
          </cell>
          <cell r="E6">
            <v>79</v>
          </cell>
          <cell r="F6">
            <v>81</v>
          </cell>
          <cell r="G6">
            <v>77</v>
          </cell>
          <cell r="H6">
            <v>78</v>
          </cell>
          <cell r="I6">
            <v>78</v>
          </cell>
          <cell r="J6">
            <v>74</v>
          </cell>
          <cell r="O6" t="str">
            <v>SLOTMANIA-MOMO</v>
          </cell>
          <cell r="P6">
            <v>81</v>
          </cell>
          <cell r="Q6">
            <v>79</v>
          </cell>
          <cell r="R6">
            <v>76</v>
          </cell>
          <cell r="S6">
            <v>76</v>
          </cell>
          <cell r="T6">
            <v>75</v>
          </cell>
          <cell r="U6">
            <v>75</v>
          </cell>
          <cell r="V6">
            <v>0</v>
          </cell>
          <cell r="W6">
            <v>0</v>
          </cell>
          <cell r="X6">
            <v>462.1</v>
          </cell>
          <cell r="Y6" t="str">
            <v>,100</v>
          </cell>
          <cell r="Z6">
            <v>10.983000000000001</v>
          </cell>
          <cell r="AA6">
            <v>11.228</v>
          </cell>
          <cell r="AB6">
            <v>11.4</v>
          </cell>
          <cell r="AC6">
            <v>11.505000000000001</v>
          </cell>
          <cell r="AD6">
            <v>11.69</v>
          </cell>
          <cell r="AE6">
            <v>11.775</v>
          </cell>
          <cell r="AF6">
            <v>0</v>
          </cell>
          <cell r="AG6">
            <v>0</v>
          </cell>
          <cell r="AH6">
            <v>11.205</v>
          </cell>
          <cell r="AI6">
            <v>11.409000000000001</v>
          </cell>
          <cell r="AJ6">
            <v>11.715</v>
          </cell>
          <cell r="AK6">
            <v>11.707000000000001</v>
          </cell>
          <cell r="AL6">
            <v>11.968</v>
          </cell>
          <cell r="AM6">
            <v>12.134</v>
          </cell>
          <cell r="AN6">
            <v>0</v>
          </cell>
          <cell r="AO6">
            <v>0</v>
          </cell>
          <cell r="AP6" t="str">
            <v>(2) 13,71</v>
          </cell>
          <cell r="AQ6" t="str">
            <v>(2) 13,53</v>
          </cell>
          <cell r="AR6" t="str">
            <v>(4) 15,82</v>
          </cell>
          <cell r="AS6" t="str">
            <v>(0) 12,09</v>
          </cell>
          <cell r="AT6" t="str">
            <v>(1) 14,69</v>
          </cell>
          <cell r="AU6" t="str">
            <v>(4) 16,36</v>
          </cell>
          <cell r="AV6">
            <v>0</v>
          </cell>
          <cell r="AW6">
            <v>0</v>
          </cell>
          <cell r="AX6" t="str">
            <v>(13)</v>
          </cell>
        </row>
        <row r="7">
          <cell r="B7" t="str">
            <v>Vuelta rápida</v>
          </cell>
          <cell r="E7">
            <v>11.16</v>
          </cell>
          <cell r="F7">
            <v>10.961</v>
          </cell>
          <cell r="G7">
            <v>11.287000000000001</v>
          </cell>
          <cell r="H7">
            <v>11.249000000000001</v>
          </cell>
          <cell r="I7">
            <v>11.465999999999999</v>
          </cell>
          <cell r="J7">
            <v>11.61</v>
          </cell>
          <cell r="O7" t="str">
            <v>GRANOLLERS-SPORT</v>
          </cell>
          <cell r="P7">
            <v>78</v>
          </cell>
          <cell r="Q7">
            <v>79</v>
          </cell>
          <cell r="R7">
            <v>77</v>
          </cell>
          <cell r="S7">
            <v>75</v>
          </cell>
          <cell r="T7">
            <v>74</v>
          </cell>
          <cell r="U7">
            <v>77</v>
          </cell>
          <cell r="V7">
            <v>0</v>
          </cell>
          <cell r="W7">
            <v>0</v>
          </cell>
          <cell r="X7">
            <v>460.04700000000003</v>
          </cell>
          <cell r="Y7" t="str">
            <v>,047</v>
          </cell>
          <cell r="Z7">
            <v>11.276999999999999</v>
          </cell>
          <cell r="AA7">
            <v>11.14</v>
          </cell>
          <cell r="AB7">
            <v>11.407999999999999</v>
          </cell>
          <cell r="AC7">
            <v>11.41</v>
          </cell>
          <cell r="AD7">
            <v>11.601000000000001</v>
          </cell>
          <cell r="AE7">
            <v>11.417999999999999</v>
          </cell>
          <cell r="AF7">
            <v>0</v>
          </cell>
          <cell r="AG7">
            <v>0</v>
          </cell>
          <cell r="AH7">
            <v>11.603999999999999</v>
          </cell>
          <cell r="AI7">
            <v>11.394</v>
          </cell>
          <cell r="AJ7">
            <v>11.750999999999999</v>
          </cell>
          <cell r="AK7">
            <v>11.959</v>
          </cell>
          <cell r="AL7">
            <v>11.981</v>
          </cell>
          <cell r="AM7">
            <v>11.808</v>
          </cell>
          <cell r="AN7">
            <v>0</v>
          </cell>
          <cell r="AO7">
            <v>0</v>
          </cell>
          <cell r="AP7" t="str">
            <v>(3) 14,35</v>
          </cell>
          <cell r="AQ7" t="str">
            <v>(3) 13,55</v>
          </cell>
          <cell r="AR7" t="str">
            <v>(2) 16,34</v>
          </cell>
          <cell r="AS7" t="str">
            <v>(6) 16,78</v>
          </cell>
          <cell r="AT7" t="str">
            <v>(7) 17,02</v>
          </cell>
          <cell r="AU7" t="str">
            <v>(3) 16,62</v>
          </cell>
          <cell r="AV7">
            <v>0</v>
          </cell>
          <cell r="AW7">
            <v>0</v>
          </cell>
          <cell r="AX7" t="str">
            <v>(24)</v>
          </cell>
        </row>
        <row r="8">
          <cell r="B8" t="str">
            <v>Vuelta media</v>
          </cell>
          <cell r="E8">
            <v>11.481999999999999</v>
          </cell>
          <cell r="F8">
            <v>11.208</v>
          </cell>
          <cell r="G8">
            <v>11.659000000000001</v>
          </cell>
          <cell r="H8">
            <v>11.542999999999999</v>
          </cell>
          <cell r="I8">
            <v>11.622</v>
          </cell>
          <cell r="J8">
            <v>12.010999999999999</v>
          </cell>
          <cell r="O8" t="str">
            <v>EL SOT-FU</v>
          </cell>
          <cell r="P8">
            <v>79</v>
          </cell>
          <cell r="Q8">
            <v>78</v>
          </cell>
          <cell r="R8">
            <v>76</v>
          </cell>
          <cell r="S8">
            <v>77</v>
          </cell>
          <cell r="T8">
            <v>75</v>
          </cell>
          <cell r="U8">
            <v>73</v>
          </cell>
          <cell r="V8">
            <v>0</v>
          </cell>
          <cell r="W8">
            <v>0</v>
          </cell>
          <cell r="X8">
            <v>458.11900000000003</v>
          </cell>
          <cell r="Y8" t="str">
            <v>,119</v>
          </cell>
          <cell r="Z8">
            <v>11.202</v>
          </cell>
          <cell r="AA8">
            <v>11.209</v>
          </cell>
          <cell r="AB8">
            <v>11.372999999999999</v>
          </cell>
          <cell r="AC8">
            <v>11.426</v>
          </cell>
          <cell r="AD8">
            <v>11.747</v>
          </cell>
          <cell r="AE8">
            <v>11.824999999999999</v>
          </cell>
          <cell r="AF8">
            <v>0</v>
          </cell>
          <cell r="AG8">
            <v>0</v>
          </cell>
          <cell r="AH8">
            <v>11.461</v>
          </cell>
          <cell r="AI8">
            <v>11.445</v>
          </cell>
          <cell r="AJ8">
            <v>11.769</v>
          </cell>
          <cell r="AK8">
            <v>11.788</v>
          </cell>
          <cell r="AL8">
            <v>12.096</v>
          </cell>
          <cell r="AM8">
            <v>12.244</v>
          </cell>
          <cell r="AN8">
            <v>0</v>
          </cell>
          <cell r="AO8">
            <v>0</v>
          </cell>
          <cell r="AP8" t="str">
            <v>(2) 14,46</v>
          </cell>
          <cell r="AQ8" t="str">
            <v>(0) 11,92</v>
          </cell>
          <cell r="AR8" t="str">
            <v>(5) 15,63</v>
          </cell>
          <cell r="AS8" t="str">
            <v>(3) 15,39</v>
          </cell>
          <cell r="AT8" t="str">
            <v>(3) 14,40</v>
          </cell>
          <cell r="AU8" t="str">
            <v>(1) 15,71</v>
          </cell>
          <cell r="AV8">
            <v>0</v>
          </cell>
          <cell r="AW8">
            <v>0</v>
          </cell>
          <cell r="AX8" t="str">
            <v>(14)</v>
          </cell>
        </row>
        <row r="9">
          <cell r="B9" t="str">
            <v>Vuelta   lenta</v>
          </cell>
          <cell r="C9" t="str">
            <v>(19)</v>
          </cell>
          <cell r="E9" t="str">
            <v>(3) 13,98</v>
          </cell>
          <cell r="F9" t="str">
            <v>(1) 14,26</v>
          </cell>
          <cell r="G9" t="str">
            <v>(4) 16,12</v>
          </cell>
          <cell r="H9" t="str">
            <v>(4) 14,83</v>
          </cell>
          <cell r="I9" t="str">
            <v>(0) 12,13</v>
          </cell>
          <cell r="J9" t="str">
            <v>(7) 14,76</v>
          </cell>
          <cell r="O9" t="str">
            <v>GRANOLLERS-BATUA L'OLLA</v>
          </cell>
          <cell r="P9">
            <v>77</v>
          </cell>
          <cell r="Q9">
            <v>78</v>
          </cell>
          <cell r="R9">
            <v>75</v>
          </cell>
          <cell r="S9">
            <v>76</v>
          </cell>
          <cell r="T9">
            <v>76</v>
          </cell>
          <cell r="U9">
            <v>73</v>
          </cell>
          <cell r="V9">
            <v>0</v>
          </cell>
          <cell r="W9">
            <v>0</v>
          </cell>
          <cell r="X9">
            <v>455.01900000000001</v>
          </cell>
          <cell r="Y9" t="str">
            <v>,019</v>
          </cell>
          <cell r="Z9">
            <v>11.394</v>
          </cell>
          <cell r="AA9">
            <v>11.36</v>
          </cell>
          <cell r="AB9">
            <v>11.596</v>
          </cell>
          <cell r="AC9">
            <v>11.456</v>
          </cell>
          <cell r="AD9">
            <v>11.733000000000001</v>
          </cell>
          <cell r="AE9">
            <v>11.868</v>
          </cell>
          <cell r="AF9">
            <v>0</v>
          </cell>
          <cell r="AG9">
            <v>0</v>
          </cell>
          <cell r="AH9">
            <v>11.672000000000001</v>
          </cell>
          <cell r="AI9">
            <v>11.637</v>
          </cell>
          <cell r="AJ9">
            <v>12.055</v>
          </cell>
          <cell r="AK9">
            <v>11.798999999999999</v>
          </cell>
          <cell r="AL9">
            <v>11.936999999999999</v>
          </cell>
          <cell r="AM9">
            <v>12.247999999999999</v>
          </cell>
          <cell r="AN9">
            <v>0</v>
          </cell>
          <cell r="AO9">
            <v>0</v>
          </cell>
          <cell r="AP9" t="str">
            <v>(2) 14,54</v>
          </cell>
          <cell r="AQ9" t="str">
            <v>(1) 14,90</v>
          </cell>
          <cell r="AR9" t="str">
            <v>(3) 18,09</v>
          </cell>
          <cell r="AS9" t="str">
            <v>(2) 17,88</v>
          </cell>
          <cell r="AT9" t="str">
            <v>(0) 12,62</v>
          </cell>
          <cell r="AU9" t="str">
            <v>(3) 15,07</v>
          </cell>
          <cell r="AV9">
            <v>0</v>
          </cell>
          <cell r="AW9">
            <v>0</v>
          </cell>
          <cell r="AX9" t="str">
            <v>(11)</v>
          </cell>
        </row>
        <row r="10">
          <cell r="A10">
            <v>3</v>
          </cell>
          <cell r="B10" t="str">
            <v>DREAM SLOT-ESTEL·LATS</v>
          </cell>
          <cell r="C10">
            <v>464</v>
          </cell>
          <cell r="D10" t="str">
            <v>,074</v>
          </cell>
          <cell r="E10">
            <v>80</v>
          </cell>
          <cell r="F10">
            <v>79</v>
          </cell>
          <cell r="G10">
            <v>77</v>
          </cell>
          <cell r="H10">
            <v>77</v>
          </cell>
          <cell r="I10">
            <v>76</v>
          </cell>
          <cell r="J10">
            <v>75</v>
          </cell>
          <cell r="O10" t="str">
            <v>HOT SLOT FOR YOU</v>
          </cell>
          <cell r="P10">
            <v>80</v>
          </cell>
          <cell r="Q10">
            <v>80</v>
          </cell>
          <cell r="R10">
            <v>71</v>
          </cell>
          <cell r="S10">
            <v>73</v>
          </cell>
          <cell r="T10">
            <v>74</v>
          </cell>
          <cell r="U10">
            <v>75</v>
          </cell>
          <cell r="V10">
            <v>0</v>
          </cell>
          <cell r="W10">
            <v>0</v>
          </cell>
          <cell r="X10">
            <v>453.09800000000001</v>
          </cell>
          <cell r="Y10" t="str">
            <v>,098</v>
          </cell>
          <cell r="Z10">
            <v>10.912000000000001</v>
          </cell>
          <cell r="AA10">
            <v>10.896000000000001</v>
          </cell>
          <cell r="AB10">
            <v>11.423999999999999</v>
          </cell>
          <cell r="AC10">
            <v>11.624000000000001</v>
          </cell>
          <cell r="AD10">
            <v>11.525</v>
          </cell>
          <cell r="AE10">
            <v>11.455</v>
          </cell>
          <cell r="AF10">
            <v>0</v>
          </cell>
          <cell r="AG10">
            <v>0</v>
          </cell>
          <cell r="AH10">
            <v>11.266999999999999</v>
          </cell>
          <cell r="AI10">
            <v>11.303000000000001</v>
          </cell>
          <cell r="AJ10">
            <v>12.577</v>
          </cell>
          <cell r="AK10">
            <v>12.361000000000001</v>
          </cell>
          <cell r="AL10">
            <v>12.218999999999999</v>
          </cell>
          <cell r="AM10">
            <v>11.928000000000001</v>
          </cell>
          <cell r="AN10">
            <v>0</v>
          </cell>
          <cell r="AO10">
            <v>0</v>
          </cell>
          <cell r="AP10" t="str">
            <v>(6) 14,96</v>
          </cell>
          <cell r="AQ10" t="str">
            <v>(6) 15,19</v>
          </cell>
          <cell r="AR10" t="str">
            <v>(13)37,03</v>
          </cell>
          <cell r="AS10" t="str">
            <v>(10)17,22</v>
          </cell>
          <cell r="AT10" t="str">
            <v>(9) 16,44</v>
          </cell>
          <cell r="AU10" t="str">
            <v>(6) 18,33</v>
          </cell>
          <cell r="AV10">
            <v>0</v>
          </cell>
          <cell r="AW10">
            <v>0</v>
          </cell>
          <cell r="AX10" t="str">
            <v>(50)</v>
          </cell>
        </row>
        <row r="11">
          <cell r="B11" t="str">
            <v>Vuelta rápida</v>
          </cell>
          <cell r="E11">
            <v>10.987</v>
          </cell>
          <cell r="F11">
            <v>11.09</v>
          </cell>
          <cell r="G11">
            <v>11.180999999999999</v>
          </cell>
          <cell r="H11">
            <v>11.256</v>
          </cell>
          <cell r="I11">
            <v>11.503</v>
          </cell>
          <cell r="J11">
            <v>11.612</v>
          </cell>
          <cell r="O11" t="str">
            <v>SLOTMANIA-RIDERS</v>
          </cell>
          <cell r="P11">
            <v>77</v>
          </cell>
          <cell r="Q11">
            <v>76</v>
          </cell>
          <cell r="R11">
            <v>76</v>
          </cell>
          <cell r="S11">
            <v>77</v>
          </cell>
          <cell r="T11">
            <v>74</v>
          </cell>
          <cell r="U11">
            <v>73</v>
          </cell>
          <cell r="V11">
            <v>0</v>
          </cell>
          <cell r="W11">
            <v>0</v>
          </cell>
          <cell r="X11">
            <v>453.024</v>
          </cell>
          <cell r="Y11" t="str">
            <v>,024</v>
          </cell>
          <cell r="Z11">
            <v>11.481999999999999</v>
          </cell>
          <cell r="AA11">
            <v>11.545</v>
          </cell>
          <cell r="AB11">
            <v>11.734999999999999</v>
          </cell>
          <cell r="AC11">
            <v>11.318</v>
          </cell>
          <cell r="AD11">
            <v>11.728999999999999</v>
          </cell>
          <cell r="AE11">
            <v>11.802</v>
          </cell>
          <cell r="AF11">
            <v>0</v>
          </cell>
          <cell r="AG11">
            <v>0</v>
          </cell>
          <cell r="AH11">
            <v>11.762</v>
          </cell>
          <cell r="AI11">
            <v>11.824</v>
          </cell>
          <cell r="AJ11">
            <v>11.952999999999999</v>
          </cell>
          <cell r="AK11">
            <v>11.712</v>
          </cell>
          <cell r="AL11">
            <v>12.122999999999999</v>
          </cell>
          <cell r="AM11">
            <v>12.298999999999999</v>
          </cell>
          <cell r="AN11">
            <v>0</v>
          </cell>
          <cell r="AO11">
            <v>0</v>
          </cell>
          <cell r="AP11" t="str">
            <v>(0) 12,74</v>
          </cell>
          <cell r="AQ11" t="str">
            <v>(1) 15,28</v>
          </cell>
          <cell r="AR11" t="str">
            <v>(1) 13,39</v>
          </cell>
          <cell r="AS11" t="str">
            <v>(3) 16,03</v>
          </cell>
          <cell r="AT11" t="str">
            <v>(5) 15,86</v>
          </cell>
          <cell r="AU11" t="str">
            <v>(5) 21,11</v>
          </cell>
          <cell r="AV11">
            <v>0</v>
          </cell>
          <cell r="AW11">
            <v>0</v>
          </cell>
          <cell r="AX11" t="str">
            <v>(15)</v>
          </cell>
        </row>
        <row r="12">
          <cell r="B12" t="str">
            <v>Vuelta media</v>
          </cell>
          <cell r="E12">
            <v>11.388999999999999</v>
          </cell>
          <cell r="F12">
            <v>11.407</v>
          </cell>
          <cell r="G12">
            <v>11.645</v>
          </cell>
          <cell r="H12">
            <v>11.66</v>
          </cell>
          <cell r="I12">
            <v>11.731999999999999</v>
          </cell>
          <cell r="J12">
            <v>12.037000000000001</v>
          </cell>
          <cell r="O12" t="str">
            <v>SLOT34YOU</v>
          </cell>
          <cell r="P12">
            <v>76</v>
          </cell>
          <cell r="Q12">
            <v>77</v>
          </cell>
          <cell r="R12">
            <v>76</v>
          </cell>
          <cell r="S12">
            <v>75</v>
          </cell>
          <cell r="T12">
            <v>75</v>
          </cell>
          <cell r="U12">
            <v>73</v>
          </cell>
          <cell r="V12">
            <v>0</v>
          </cell>
          <cell r="W12">
            <v>0</v>
          </cell>
          <cell r="X12">
            <v>452.07400000000001</v>
          </cell>
          <cell r="Y12" t="str">
            <v>,074</v>
          </cell>
          <cell r="Z12">
            <v>11.286</v>
          </cell>
          <cell r="AA12">
            <v>11.372</v>
          </cell>
          <cell r="AB12">
            <v>11.260999999999999</v>
          </cell>
          <cell r="AC12">
            <v>11.417999999999999</v>
          </cell>
          <cell r="AD12">
            <v>11.744</v>
          </cell>
          <cell r="AE12">
            <v>11.888999999999999</v>
          </cell>
          <cell r="AF12">
            <v>0</v>
          </cell>
          <cell r="AG12">
            <v>0</v>
          </cell>
          <cell r="AH12">
            <v>11.765000000000001</v>
          </cell>
          <cell r="AI12">
            <v>11.71</v>
          </cell>
          <cell r="AJ12">
            <v>11.83</v>
          </cell>
          <cell r="AK12">
            <v>11.978</v>
          </cell>
          <cell r="AL12">
            <v>12.112</v>
          </cell>
          <cell r="AM12">
            <v>12.351000000000001</v>
          </cell>
          <cell r="AN12">
            <v>0</v>
          </cell>
          <cell r="AO12">
            <v>0</v>
          </cell>
          <cell r="AP12" t="str">
            <v>(4) 16,73</v>
          </cell>
          <cell r="AQ12" t="str">
            <v>(2) 14,21</v>
          </cell>
          <cell r="AR12" t="str">
            <v>(7) 17,22</v>
          </cell>
          <cell r="AS12" t="str">
            <v>(4) 18,40</v>
          </cell>
          <cell r="AT12" t="str">
            <v>(3) 15,63</v>
          </cell>
          <cell r="AU12" t="str">
            <v>(6) 14,96</v>
          </cell>
          <cell r="AV12">
            <v>0</v>
          </cell>
          <cell r="AW12">
            <v>0</v>
          </cell>
          <cell r="AX12" t="str">
            <v>(26)</v>
          </cell>
        </row>
        <row r="13">
          <cell r="B13" t="str">
            <v>Vuelta   lenta</v>
          </cell>
          <cell r="C13" t="str">
            <v>(25)</v>
          </cell>
          <cell r="E13" t="str">
            <v>(5) 14,58</v>
          </cell>
          <cell r="F13" t="str">
            <v>(3) 16,78</v>
          </cell>
          <cell r="G13" t="str">
            <v>(5) 16,21</v>
          </cell>
          <cell r="H13" t="str">
            <v>(6) 26,87</v>
          </cell>
          <cell r="I13" t="str">
            <v>(2) 14,76</v>
          </cell>
          <cell r="J13" t="str">
            <v>(4) 17,60</v>
          </cell>
          <cell r="O13" t="str">
            <v>SLOTMANIA-BIKE</v>
          </cell>
          <cell r="P13">
            <v>76</v>
          </cell>
          <cell r="Q13">
            <v>75</v>
          </cell>
          <cell r="R13">
            <v>76</v>
          </cell>
          <cell r="S13">
            <v>76</v>
          </cell>
          <cell r="T13">
            <v>75</v>
          </cell>
          <cell r="U13">
            <v>72</v>
          </cell>
          <cell r="V13">
            <v>0</v>
          </cell>
          <cell r="W13">
            <v>0</v>
          </cell>
          <cell r="X13">
            <v>450.01600000000002</v>
          </cell>
          <cell r="Y13" t="str">
            <v>,016</v>
          </cell>
          <cell r="Z13">
            <v>11.547000000000001</v>
          </cell>
          <cell r="AA13">
            <v>11.441000000000001</v>
          </cell>
          <cell r="AB13">
            <v>11.587</v>
          </cell>
          <cell r="AC13">
            <v>11.467000000000001</v>
          </cell>
          <cell r="AD13">
            <v>11.670999999999999</v>
          </cell>
          <cell r="AE13">
            <v>11.788</v>
          </cell>
          <cell r="AF13">
            <v>0</v>
          </cell>
          <cell r="AG13">
            <v>0</v>
          </cell>
          <cell r="AH13">
            <v>11.875999999999999</v>
          </cell>
          <cell r="AI13">
            <v>11.99</v>
          </cell>
          <cell r="AJ13">
            <v>11.836</v>
          </cell>
          <cell r="AK13">
            <v>11.925000000000001</v>
          </cell>
          <cell r="AL13">
            <v>12.064</v>
          </cell>
          <cell r="AM13">
            <v>12.443</v>
          </cell>
          <cell r="AN13">
            <v>0</v>
          </cell>
          <cell r="AO13">
            <v>0</v>
          </cell>
          <cell r="AP13" t="str">
            <v>(3) 15,37</v>
          </cell>
          <cell r="AQ13" t="str">
            <v>(5) 17,77</v>
          </cell>
          <cell r="AR13" t="str">
            <v>(3) 14,00</v>
          </cell>
          <cell r="AS13" t="str">
            <v>(4) 18,15</v>
          </cell>
          <cell r="AT13" t="str">
            <v>(3) 15,39</v>
          </cell>
          <cell r="AU13" t="str">
            <v>(7) 18,77</v>
          </cell>
          <cell r="AV13">
            <v>0</v>
          </cell>
          <cell r="AW13">
            <v>0</v>
          </cell>
          <cell r="AX13" t="str">
            <v>(25)</v>
          </cell>
        </row>
        <row r="14">
          <cell r="A14">
            <v>8</v>
          </cell>
          <cell r="B14" t="str">
            <v>STP-RACING</v>
          </cell>
          <cell r="C14">
            <v>464</v>
          </cell>
          <cell r="D14" t="str">
            <v>,029</v>
          </cell>
          <cell r="E14">
            <v>78</v>
          </cell>
          <cell r="F14">
            <v>79</v>
          </cell>
          <cell r="G14">
            <v>78</v>
          </cell>
          <cell r="H14">
            <v>79</v>
          </cell>
          <cell r="I14">
            <v>76</v>
          </cell>
          <cell r="J14">
            <v>74</v>
          </cell>
          <cell r="O14" t="str">
            <v>EL SOT-WARRIORS</v>
          </cell>
          <cell r="P14">
            <v>75</v>
          </cell>
          <cell r="Q14">
            <v>76</v>
          </cell>
          <cell r="R14">
            <v>76</v>
          </cell>
          <cell r="S14">
            <v>77</v>
          </cell>
          <cell r="T14">
            <v>75</v>
          </cell>
          <cell r="U14">
            <v>70</v>
          </cell>
          <cell r="V14">
            <v>0</v>
          </cell>
          <cell r="W14">
            <v>0</v>
          </cell>
          <cell r="X14">
            <v>449.09300000000002</v>
          </cell>
          <cell r="Y14" t="str">
            <v>,093</v>
          </cell>
          <cell r="Z14">
            <v>11.57</v>
          </cell>
          <cell r="AA14">
            <v>11.397</v>
          </cell>
          <cell r="AB14">
            <v>11.552</v>
          </cell>
          <cell r="AC14">
            <v>11.499000000000001</v>
          </cell>
          <cell r="AD14">
            <v>11.670999999999999</v>
          </cell>
          <cell r="AE14">
            <v>12.012</v>
          </cell>
          <cell r="AF14">
            <v>0</v>
          </cell>
          <cell r="AG14">
            <v>0</v>
          </cell>
          <cell r="AH14">
            <v>12.042999999999999</v>
          </cell>
          <cell r="AI14">
            <v>11.832000000000001</v>
          </cell>
          <cell r="AJ14">
            <v>11.907999999999999</v>
          </cell>
          <cell r="AK14">
            <v>11.693</v>
          </cell>
          <cell r="AL14">
            <v>11.98</v>
          </cell>
          <cell r="AM14">
            <v>12.803000000000001</v>
          </cell>
          <cell r="AN14">
            <v>0</v>
          </cell>
          <cell r="AO14">
            <v>0</v>
          </cell>
          <cell r="AP14" t="str">
            <v>(5) 15,49</v>
          </cell>
          <cell r="AQ14" t="str">
            <v>(4) 14,69</v>
          </cell>
          <cell r="AR14" t="str">
            <v>(2) 16,41</v>
          </cell>
          <cell r="AS14" t="str">
            <v>(0) 12,09</v>
          </cell>
          <cell r="AT14" t="str">
            <v>(0) 12,45</v>
          </cell>
          <cell r="AU14" t="str">
            <v>(8) 18,83</v>
          </cell>
          <cell r="AV14">
            <v>0</v>
          </cell>
          <cell r="AW14">
            <v>0</v>
          </cell>
          <cell r="AX14" t="str">
            <v>(19)</v>
          </cell>
        </row>
        <row r="15">
          <cell r="B15" t="str">
            <v>Vuelta rápida</v>
          </cell>
          <cell r="E15">
            <v>11.209</v>
          </cell>
          <cell r="F15">
            <v>11.161</v>
          </cell>
          <cell r="G15">
            <v>11.223000000000001</v>
          </cell>
          <cell r="H15">
            <v>11.292</v>
          </cell>
          <cell r="I15">
            <v>11.468999999999999</v>
          </cell>
          <cell r="J15">
            <v>11.717000000000001</v>
          </cell>
          <cell r="O15" t="str">
            <v>SLOT FOR YOU</v>
          </cell>
          <cell r="P15">
            <v>78</v>
          </cell>
          <cell r="Q15">
            <v>79</v>
          </cell>
          <cell r="R15">
            <v>62</v>
          </cell>
          <cell r="S15">
            <v>78</v>
          </cell>
          <cell r="T15">
            <v>77</v>
          </cell>
          <cell r="U15">
            <v>74</v>
          </cell>
          <cell r="V15">
            <v>0</v>
          </cell>
          <cell r="W15">
            <v>0</v>
          </cell>
          <cell r="X15">
            <v>448.00799999999998</v>
          </cell>
          <cell r="Y15" t="str">
            <v>,008</v>
          </cell>
          <cell r="Z15">
            <v>11.055</v>
          </cell>
          <cell r="AA15">
            <v>11.013999999999999</v>
          </cell>
          <cell r="AB15">
            <v>11.247999999999999</v>
          </cell>
          <cell r="AC15">
            <v>11.236000000000001</v>
          </cell>
          <cell r="AD15">
            <v>11.391999999999999</v>
          </cell>
          <cell r="AE15">
            <v>11.644</v>
          </cell>
          <cell r="AF15">
            <v>0</v>
          </cell>
          <cell r="AG15">
            <v>0</v>
          </cell>
          <cell r="AH15">
            <v>11.564</v>
          </cell>
          <cell r="AI15">
            <v>11.382999999999999</v>
          </cell>
          <cell r="AJ15">
            <v>14.705</v>
          </cell>
          <cell r="AK15">
            <v>11.542999999999999</v>
          </cell>
          <cell r="AL15">
            <v>11.696999999999999</v>
          </cell>
          <cell r="AM15">
            <v>12.159000000000001</v>
          </cell>
          <cell r="AN15">
            <v>0</v>
          </cell>
          <cell r="AO15">
            <v>0</v>
          </cell>
          <cell r="AP15" t="str">
            <v>(4) 17,85</v>
          </cell>
          <cell r="AQ15" t="str">
            <v>(4) 15,06</v>
          </cell>
          <cell r="AR15" t="str">
            <v>(5) 200,3</v>
          </cell>
          <cell r="AS15" t="str">
            <v>(2) 14,23</v>
          </cell>
          <cell r="AT15" t="str">
            <v>(3) 14,55</v>
          </cell>
          <cell r="AU15" t="str">
            <v>(6) 17,16</v>
          </cell>
          <cell r="AV15">
            <v>0</v>
          </cell>
          <cell r="AW15">
            <v>0</v>
          </cell>
          <cell r="AX15" t="str">
            <v>(24)</v>
          </cell>
        </row>
        <row r="16">
          <cell r="B16" t="str">
            <v>Vuelta media</v>
          </cell>
          <cell r="E16">
            <v>11.519</v>
          </cell>
          <cell r="F16">
            <v>11.496</v>
          </cell>
          <cell r="G16">
            <v>11.537000000000001</v>
          </cell>
          <cell r="H16">
            <v>11.484</v>
          </cell>
          <cell r="I16">
            <v>11.851000000000001</v>
          </cell>
          <cell r="J16">
            <v>12.026</v>
          </cell>
          <cell r="O16" t="str">
            <v>SLOT FOR YOU-CUIDADIN</v>
          </cell>
          <cell r="P16">
            <v>76</v>
          </cell>
          <cell r="Q16">
            <v>75</v>
          </cell>
          <cell r="R16">
            <v>75</v>
          </cell>
          <cell r="S16">
            <v>73</v>
          </cell>
          <cell r="T16">
            <v>74</v>
          </cell>
          <cell r="U16">
            <v>69</v>
          </cell>
          <cell r="V16">
            <v>0</v>
          </cell>
          <cell r="W16">
            <v>0</v>
          </cell>
          <cell r="X16">
            <v>442.012</v>
          </cell>
          <cell r="Y16" t="str">
            <v>,012</v>
          </cell>
          <cell r="Z16">
            <v>11.547000000000001</v>
          </cell>
          <cell r="AA16">
            <v>11.634</v>
          </cell>
          <cell r="AB16">
            <v>11.666</v>
          </cell>
          <cell r="AC16">
            <v>11.683</v>
          </cell>
          <cell r="AD16">
            <v>11.695</v>
          </cell>
          <cell r="AE16">
            <v>12.068</v>
          </cell>
          <cell r="AF16">
            <v>0</v>
          </cell>
          <cell r="AG16">
            <v>0</v>
          </cell>
          <cell r="AH16">
            <v>11.827999999999999</v>
          </cell>
          <cell r="AI16">
            <v>11.949</v>
          </cell>
          <cell r="AJ16">
            <v>12.012</v>
          </cell>
          <cell r="AK16">
            <v>12.403</v>
          </cell>
          <cell r="AL16">
            <v>12.206</v>
          </cell>
          <cell r="AM16">
            <v>13.166</v>
          </cell>
          <cell r="AN16">
            <v>0</v>
          </cell>
          <cell r="AO16">
            <v>0</v>
          </cell>
          <cell r="AP16" t="str">
            <v>(2) 13,94</v>
          </cell>
          <cell r="AQ16" t="str">
            <v>(1) 16,63</v>
          </cell>
          <cell r="AR16" t="str">
            <v>(2) 17,51</v>
          </cell>
          <cell r="AS16" t="str">
            <v>(11)16,02</v>
          </cell>
          <cell r="AT16" t="str">
            <v>(3) 18,14</v>
          </cell>
          <cell r="AU16" t="str">
            <v>(14)23,06</v>
          </cell>
          <cell r="AV16">
            <v>0</v>
          </cell>
          <cell r="AW16">
            <v>0</v>
          </cell>
          <cell r="AX16" t="str">
            <v>(33)</v>
          </cell>
        </row>
        <row r="17">
          <cell r="B17" t="str">
            <v>Vuelta   lenta</v>
          </cell>
          <cell r="C17" t="str">
            <v>(13)</v>
          </cell>
          <cell r="E17" t="str">
            <v>(3) 15,27</v>
          </cell>
          <cell r="F17" t="str">
            <v>(2) 13,76</v>
          </cell>
          <cell r="G17" t="str">
            <v>(3) 14,75</v>
          </cell>
          <cell r="H17" t="str">
            <v>(0) 11,76</v>
          </cell>
          <cell r="I17" t="str">
            <v>(4) 15,50</v>
          </cell>
          <cell r="J17" t="str">
            <v>(1) 14,70</v>
          </cell>
          <cell r="O17" t="str">
            <v>GASCLAVAT</v>
          </cell>
          <cell r="P17">
            <v>73</v>
          </cell>
          <cell r="Q17">
            <v>74</v>
          </cell>
          <cell r="R17">
            <v>72</v>
          </cell>
          <cell r="S17">
            <v>72</v>
          </cell>
          <cell r="T17">
            <v>74</v>
          </cell>
          <cell r="U17">
            <v>72</v>
          </cell>
          <cell r="V17">
            <v>0</v>
          </cell>
          <cell r="W17">
            <v>0</v>
          </cell>
          <cell r="X17">
            <v>437.1</v>
          </cell>
          <cell r="Y17" t="str">
            <v>,100</v>
          </cell>
          <cell r="Z17">
            <v>11.61</v>
          </cell>
          <cell r="AA17">
            <v>11.651</v>
          </cell>
          <cell r="AB17">
            <v>11.512</v>
          </cell>
          <cell r="AC17">
            <v>11.9</v>
          </cell>
          <cell r="AD17">
            <v>11.853999999999999</v>
          </cell>
          <cell r="AE17">
            <v>12.128</v>
          </cell>
          <cell r="AF17">
            <v>0</v>
          </cell>
          <cell r="AG17">
            <v>0</v>
          </cell>
          <cell r="AH17">
            <v>12.406000000000001</v>
          </cell>
          <cell r="AI17">
            <v>12.162000000000001</v>
          </cell>
          <cell r="AJ17">
            <v>12.438000000000001</v>
          </cell>
          <cell r="AK17">
            <v>12.518000000000001</v>
          </cell>
          <cell r="AL17">
            <v>12.164999999999999</v>
          </cell>
          <cell r="AM17">
            <v>12.519</v>
          </cell>
          <cell r="AN17">
            <v>0</v>
          </cell>
          <cell r="AO17">
            <v>0</v>
          </cell>
          <cell r="AP17" t="str">
            <v>(14)15,74</v>
          </cell>
          <cell r="AQ17" t="str">
            <v>(6) 16,21</v>
          </cell>
          <cell r="AR17" t="str">
            <v>(13)17,35</v>
          </cell>
          <cell r="AS17" t="str">
            <v>(8) 18,00</v>
          </cell>
          <cell r="AT17" t="str">
            <v>(1) 15,00</v>
          </cell>
          <cell r="AU17" t="str">
            <v>(5) 15,47</v>
          </cell>
          <cell r="AV17">
            <v>0</v>
          </cell>
          <cell r="AW17">
            <v>0</v>
          </cell>
          <cell r="AX17" t="str">
            <v>(47)</v>
          </cell>
        </row>
        <row r="18">
          <cell r="A18">
            <v>4</v>
          </cell>
          <cell r="B18" t="str">
            <v>SLOTMANIA-MOMO</v>
          </cell>
          <cell r="C18">
            <v>462</v>
          </cell>
          <cell r="D18" t="str">
            <v>,100</v>
          </cell>
          <cell r="E18">
            <v>81</v>
          </cell>
          <cell r="F18">
            <v>79</v>
          </cell>
          <cell r="G18">
            <v>76</v>
          </cell>
          <cell r="H18">
            <v>76</v>
          </cell>
          <cell r="I18">
            <v>75</v>
          </cell>
          <cell r="J18">
            <v>75</v>
          </cell>
          <cell r="O18" t="str">
            <v>SLOTSAB-JUNIOR</v>
          </cell>
          <cell r="P18">
            <v>75</v>
          </cell>
          <cell r="Q18">
            <v>73</v>
          </cell>
          <cell r="R18">
            <v>74</v>
          </cell>
          <cell r="S18">
            <v>73</v>
          </cell>
          <cell r="T18">
            <v>72</v>
          </cell>
          <cell r="U18">
            <v>70</v>
          </cell>
          <cell r="V18">
            <v>0</v>
          </cell>
          <cell r="W18">
            <v>0</v>
          </cell>
          <cell r="X18">
            <v>437.017</v>
          </cell>
          <cell r="Y18" t="str">
            <v>,017</v>
          </cell>
          <cell r="Z18">
            <v>11.176</v>
          </cell>
          <cell r="AA18">
            <v>11.176</v>
          </cell>
          <cell r="AB18">
            <v>11.364000000000001</v>
          </cell>
          <cell r="AC18">
            <v>11.327</v>
          </cell>
          <cell r="AD18">
            <v>11.601000000000001</v>
          </cell>
          <cell r="AE18">
            <v>11.884</v>
          </cell>
          <cell r="AF18">
            <v>0</v>
          </cell>
          <cell r="AG18">
            <v>0</v>
          </cell>
          <cell r="AH18">
            <v>12.015000000000001</v>
          </cell>
          <cell r="AI18">
            <v>12.367000000000001</v>
          </cell>
          <cell r="AJ18">
            <v>12.22</v>
          </cell>
          <cell r="AK18">
            <v>12.298999999999999</v>
          </cell>
          <cell r="AL18">
            <v>12.561999999999999</v>
          </cell>
          <cell r="AM18">
            <v>12.917</v>
          </cell>
          <cell r="AN18">
            <v>0</v>
          </cell>
          <cell r="AO18">
            <v>0</v>
          </cell>
          <cell r="AP18" t="str">
            <v>(13)15,35</v>
          </cell>
          <cell r="AQ18" t="str">
            <v>(19)20,17</v>
          </cell>
          <cell r="AR18" t="str">
            <v>(12)20,11</v>
          </cell>
          <cell r="AS18" t="str">
            <v>(15)18,43</v>
          </cell>
          <cell r="AT18" t="str">
            <v>(13)18,61</v>
          </cell>
          <cell r="AU18" t="str">
            <v>(19)21,09</v>
          </cell>
          <cell r="AV18">
            <v>0</v>
          </cell>
          <cell r="AW18">
            <v>0</v>
          </cell>
          <cell r="AX18" t="str">
            <v>(91)</v>
          </cell>
        </row>
        <row r="19">
          <cell r="B19" t="str">
            <v>Vuelta rápida</v>
          </cell>
          <cell r="E19">
            <v>10.983000000000001</v>
          </cell>
          <cell r="F19">
            <v>11.228</v>
          </cell>
          <cell r="G19">
            <v>11.4</v>
          </cell>
          <cell r="H19">
            <v>11.505000000000001</v>
          </cell>
          <cell r="I19">
            <v>11.69</v>
          </cell>
          <cell r="J19">
            <v>11.775</v>
          </cell>
          <cell r="O19" t="str">
            <v>DZERO TEAM-PADDOCK</v>
          </cell>
          <cell r="P19">
            <v>72</v>
          </cell>
          <cell r="Q19">
            <v>73</v>
          </cell>
          <cell r="R19">
            <v>71</v>
          </cell>
          <cell r="S19">
            <v>73</v>
          </cell>
          <cell r="T19">
            <v>72</v>
          </cell>
          <cell r="U19">
            <v>70</v>
          </cell>
          <cell r="V19">
            <v>0</v>
          </cell>
          <cell r="W19">
            <v>0</v>
          </cell>
          <cell r="X19">
            <v>431.09899999999999</v>
          </cell>
          <cell r="Y19" t="str">
            <v>,099</v>
          </cell>
          <cell r="Z19">
            <v>11.837</v>
          </cell>
          <cell r="AA19">
            <v>11.833</v>
          </cell>
          <cell r="AB19">
            <v>11.932</v>
          </cell>
          <cell r="AC19">
            <v>11.776999999999999</v>
          </cell>
          <cell r="AD19">
            <v>11.976000000000001</v>
          </cell>
          <cell r="AE19">
            <v>12.115</v>
          </cell>
          <cell r="AF19">
            <v>0</v>
          </cell>
          <cell r="AG19">
            <v>0</v>
          </cell>
          <cell r="AH19">
            <v>12.433</v>
          </cell>
          <cell r="AI19">
            <v>12.417</v>
          </cell>
          <cell r="AJ19">
            <v>12.691000000000001</v>
          </cell>
          <cell r="AK19">
            <v>12.356</v>
          </cell>
          <cell r="AL19">
            <v>12.523</v>
          </cell>
          <cell r="AM19">
            <v>12.755000000000001</v>
          </cell>
          <cell r="AN19">
            <v>0</v>
          </cell>
          <cell r="AO19">
            <v>0</v>
          </cell>
          <cell r="AP19" t="str">
            <v>(6) 16,64</v>
          </cell>
          <cell r="AQ19" t="str">
            <v>(5) 15,54</v>
          </cell>
          <cell r="AR19" t="str">
            <v>(8) 20,92</v>
          </cell>
          <cell r="AS19" t="str">
            <v>(6) 17,76</v>
          </cell>
          <cell r="AT19" t="str">
            <v>(4) 16,74</v>
          </cell>
          <cell r="AU19" t="str">
            <v>(8) 16,50</v>
          </cell>
          <cell r="AV19">
            <v>0</v>
          </cell>
          <cell r="AW19">
            <v>0</v>
          </cell>
          <cell r="AX19" t="str">
            <v>(37)</v>
          </cell>
        </row>
        <row r="20">
          <cell r="B20" t="str">
            <v>Vuelta media</v>
          </cell>
          <cell r="E20">
            <v>11.205</v>
          </cell>
          <cell r="F20">
            <v>11.409000000000001</v>
          </cell>
          <cell r="G20">
            <v>11.715</v>
          </cell>
          <cell r="H20">
            <v>11.707000000000001</v>
          </cell>
          <cell r="I20">
            <v>11.968</v>
          </cell>
          <cell r="J20">
            <v>12.134</v>
          </cell>
          <cell r="O20" t="str">
            <v>EL SOT-M&amp;M</v>
          </cell>
          <cell r="P20">
            <v>72</v>
          </cell>
          <cell r="Q20">
            <v>72</v>
          </cell>
          <cell r="R20">
            <v>71</v>
          </cell>
          <cell r="S20">
            <v>71</v>
          </cell>
          <cell r="T20">
            <v>72</v>
          </cell>
          <cell r="U20">
            <v>72</v>
          </cell>
          <cell r="V20">
            <v>0</v>
          </cell>
          <cell r="W20">
            <v>0</v>
          </cell>
          <cell r="X20">
            <v>430.09500000000003</v>
          </cell>
          <cell r="Y20" t="str">
            <v>,095</v>
          </cell>
          <cell r="Z20">
            <v>11.802</v>
          </cell>
          <cell r="AA20">
            <v>11.803000000000001</v>
          </cell>
          <cell r="AB20">
            <v>11.839</v>
          </cell>
          <cell r="AC20">
            <v>11.925000000000001</v>
          </cell>
          <cell r="AD20">
            <v>12.037000000000001</v>
          </cell>
          <cell r="AE20">
            <v>12.186999999999999</v>
          </cell>
          <cell r="AF20">
            <v>0</v>
          </cell>
          <cell r="AG20">
            <v>0</v>
          </cell>
          <cell r="AH20">
            <v>12.537000000000001</v>
          </cell>
          <cell r="AI20">
            <v>12.521000000000001</v>
          </cell>
          <cell r="AJ20">
            <v>12.788</v>
          </cell>
          <cell r="AK20">
            <v>12.598000000000001</v>
          </cell>
          <cell r="AL20">
            <v>12.388999999999999</v>
          </cell>
          <cell r="AM20">
            <v>12.529</v>
          </cell>
          <cell r="AN20">
            <v>0</v>
          </cell>
          <cell r="AO20">
            <v>0</v>
          </cell>
          <cell r="AP20" t="str">
            <v>(10)21,02</v>
          </cell>
          <cell r="AQ20" t="str">
            <v>(9) 18,27</v>
          </cell>
          <cell r="AR20" t="str">
            <v>(13)17,86</v>
          </cell>
          <cell r="AS20" t="str">
            <v>(7) 17,63</v>
          </cell>
          <cell r="AT20" t="str">
            <v>(3) 14,87</v>
          </cell>
          <cell r="AU20" t="str">
            <v>(2) 14,94</v>
          </cell>
          <cell r="AV20">
            <v>0</v>
          </cell>
          <cell r="AW20">
            <v>0</v>
          </cell>
          <cell r="AX20" t="str">
            <v>(44)</v>
          </cell>
        </row>
        <row r="21">
          <cell r="B21" t="str">
            <v>Vuelta   lenta</v>
          </cell>
          <cell r="C21" t="str">
            <v>(13)</v>
          </cell>
          <cell r="E21" t="str">
            <v>(2) 13,71</v>
          </cell>
          <cell r="F21" t="str">
            <v>(2) 13,53</v>
          </cell>
          <cell r="G21" t="str">
            <v>(4) 15,82</v>
          </cell>
          <cell r="H21" t="str">
            <v>(0) 12,09</v>
          </cell>
          <cell r="I21" t="str">
            <v>(1) 14,69</v>
          </cell>
          <cell r="J21" t="str">
            <v>(4) 16,36</v>
          </cell>
          <cell r="O21" t="str">
            <v>SLOTFOURMANIA</v>
          </cell>
          <cell r="P21">
            <v>64</v>
          </cell>
          <cell r="Q21">
            <v>66</v>
          </cell>
          <cell r="R21">
            <v>66</v>
          </cell>
          <cell r="S21">
            <v>63</v>
          </cell>
          <cell r="T21">
            <v>63</v>
          </cell>
          <cell r="U21">
            <v>64</v>
          </cell>
          <cell r="V21">
            <v>0</v>
          </cell>
          <cell r="W21">
            <v>0</v>
          </cell>
          <cell r="X21">
            <v>386.11700000000002</v>
          </cell>
          <cell r="Y21" t="str">
            <v>,117</v>
          </cell>
          <cell r="Z21">
            <v>12.625999999999999</v>
          </cell>
          <cell r="AA21">
            <v>12.414999999999999</v>
          </cell>
          <cell r="AB21">
            <v>12.425000000000001</v>
          </cell>
          <cell r="AC21">
            <v>12.436</v>
          </cell>
          <cell r="AD21">
            <v>12.77</v>
          </cell>
          <cell r="AE21">
            <v>12.792999999999999</v>
          </cell>
          <cell r="AF21">
            <v>0</v>
          </cell>
          <cell r="AG21">
            <v>0</v>
          </cell>
          <cell r="AH21">
            <v>14.035</v>
          </cell>
          <cell r="AI21">
            <v>13.718999999999999</v>
          </cell>
          <cell r="AJ21">
            <v>13.666</v>
          </cell>
          <cell r="AK21">
            <v>14.278</v>
          </cell>
          <cell r="AL21">
            <v>14.151</v>
          </cell>
          <cell r="AM21">
            <v>14.137</v>
          </cell>
          <cell r="AN21">
            <v>0</v>
          </cell>
          <cell r="AO21">
            <v>0</v>
          </cell>
          <cell r="AP21" t="str">
            <v>(23)18,82</v>
          </cell>
          <cell r="AQ21" t="str">
            <v>(16)22,41</v>
          </cell>
          <cell r="AR21" t="str">
            <v>(14)19,96</v>
          </cell>
          <cell r="AS21" t="str">
            <v>(15)56,27</v>
          </cell>
          <cell r="AT21" t="str">
            <v>(20)17,63</v>
          </cell>
          <cell r="AU21" t="str">
            <v>(16)21,10</v>
          </cell>
          <cell r="AV21">
            <v>0</v>
          </cell>
          <cell r="AW21">
            <v>0</v>
          </cell>
          <cell r="AX21" t="str">
            <v>(104)</v>
          </cell>
        </row>
        <row r="22">
          <cell r="A22">
            <v>5</v>
          </cell>
          <cell r="B22" t="str">
            <v>GRANOLLERS-SPORT</v>
          </cell>
          <cell r="C22">
            <v>460</v>
          </cell>
          <cell r="D22" t="str">
            <v>,047</v>
          </cell>
          <cell r="E22">
            <v>78</v>
          </cell>
          <cell r="F22">
            <v>79</v>
          </cell>
          <cell r="G22">
            <v>77</v>
          </cell>
          <cell r="H22">
            <v>75</v>
          </cell>
          <cell r="I22">
            <v>74</v>
          </cell>
          <cell r="J22">
            <v>77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B23" t="str">
            <v>Vuelta rápida</v>
          </cell>
          <cell r="E23">
            <v>11.276999999999999</v>
          </cell>
          <cell r="F23">
            <v>11.14</v>
          </cell>
          <cell r="G23">
            <v>11.407999999999999</v>
          </cell>
          <cell r="H23">
            <v>11.41</v>
          </cell>
          <cell r="I23">
            <v>11.601000000000001</v>
          </cell>
          <cell r="J23">
            <v>11.417999999999999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</row>
        <row r="24">
          <cell r="B24" t="str">
            <v>Vuelta media</v>
          </cell>
          <cell r="E24">
            <v>11.603999999999999</v>
          </cell>
          <cell r="F24">
            <v>11.394</v>
          </cell>
          <cell r="G24">
            <v>11.750999999999999</v>
          </cell>
          <cell r="H24">
            <v>11.959</v>
          </cell>
          <cell r="I24">
            <v>11.981</v>
          </cell>
          <cell r="J24">
            <v>11.808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</row>
        <row r="25">
          <cell r="B25" t="str">
            <v>Vuelta   lenta</v>
          </cell>
          <cell r="C25" t="str">
            <v>(24)</v>
          </cell>
          <cell r="E25" t="str">
            <v>(3) 14,35</v>
          </cell>
          <cell r="F25" t="str">
            <v>(3) 13,55</v>
          </cell>
          <cell r="G25" t="str">
            <v>(2) 16,34</v>
          </cell>
          <cell r="H25" t="str">
            <v>(6) 16,78</v>
          </cell>
          <cell r="I25" t="str">
            <v>(7) 17,02</v>
          </cell>
          <cell r="J25" t="str">
            <v>(3) 16,62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</row>
        <row r="26">
          <cell r="A26">
            <v>6</v>
          </cell>
          <cell r="B26" t="str">
            <v>EL SOT-FU</v>
          </cell>
          <cell r="C26">
            <v>458</v>
          </cell>
          <cell r="D26" t="str">
            <v>,119</v>
          </cell>
          <cell r="E26">
            <v>79</v>
          </cell>
          <cell r="F26">
            <v>78</v>
          </cell>
          <cell r="G26">
            <v>76</v>
          </cell>
          <cell r="H26">
            <v>77</v>
          </cell>
          <cell r="I26">
            <v>75</v>
          </cell>
          <cell r="J26">
            <v>73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</row>
        <row r="27">
          <cell r="B27" t="str">
            <v>Vuelta rápida</v>
          </cell>
          <cell r="E27">
            <v>11.202</v>
          </cell>
          <cell r="F27">
            <v>11.209</v>
          </cell>
          <cell r="G27">
            <v>11.372999999999999</v>
          </cell>
          <cell r="H27">
            <v>11.426</v>
          </cell>
          <cell r="I27">
            <v>11.747</v>
          </cell>
          <cell r="J27">
            <v>11.824999999999999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B28" t="str">
            <v>Vuelta media</v>
          </cell>
          <cell r="E28">
            <v>11.461</v>
          </cell>
          <cell r="F28">
            <v>11.445</v>
          </cell>
          <cell r="G28">
            <v>11.769</v>
          </cell>
          <cell r="H28">
            <v>11.788</v>
          </cell>
          <cell r="I28">
            <v>12.096</v>
          </cell>
          <cell r="J28">
            <v>12.244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</row>
        <row r="29">
          <cell r="B29" t="str">
            <v>Vuelta   lenta</v>
          </cell>
          <cell r="C29" t="str">
            <v>(14)</v>
          </cell>
          <cell r="E29" t="str">
            <v>(2) 14,46</v>
          </cell>
          <cell r="F29" t="str">
            <v>(0) 11,92</v>
          </cell>
          <cell r="G29" t="str">
            <v>(5) 15,63</v>
          </cell>
          <cell r="H29" t="str">
            <v>(3) 15,39</v>
          </cell>
          <cell r="I29" t="str">
            <v>(3) 14,40</v>
          </cell>
          <cell r="J29" t="str">
            <v>(1) 15,71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</row>
        <row r="30">
          <cell r="A30">
            <v>7</v>
          </cell>
          <cell r="B30" t="str">
            <v>GRANOLLERS-BATUA L'OLLA</v>
          </cell>
          <cell r="C30">
            <v>455</v>
          </cell>
          <cell r="D30" t="str">
            <v>,019</v>
          </cell>
          <cell r="E30">
            <v>77</v>
          </cell>
          <cell r="F30">
            <v>78</v>
          </cell>
          <cell r="G30">
            <v>75</v>
          </cell>
          <cell r="H30">
            <v>76</v>
          </cell>
          <cell r="I30">
            <v>76</v>
          </cell>
          <cell r="J30">
            <v>73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</row>
        <row r="31">
          <cell r="B31" t="str">
            <v>Vuelta rápida</v>
          </cell>
          <cell r="E31">
            <v>11.394</v>
          </cell>
          <cell r="F31">
            <v>11.36</v>
          </cell>
          <cell r="G31">
            <v>11.596</v>
          </cell>
          <cell r="H31">
            <v>11.456</v>
          </cell>
          <cell r="I31">
            <v>11.733000000000001</v>
          </cell>
          <cell r="J31">
            <v>11.868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B32" t="str">
            <v>Vuelta media</v>
          </cell>
          <cell r="E32">
            <v>11.672000000000001</v>
          </cell>
          <cell r="F32">
            <v>11.637</v>
          </cell>
          <cell r="G32">
            <v>12.055</v>
          </cell>
          <cell r="H32">
            <v>11.798999999999999</v>
          </cell>
          <cell r="I32">
            <v>11.936999999999999</v>
          </cell>
          <cell r="J32">
            <v>12.247999999999999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B33" t="str">
            <v>Vuelta   lenta</v>
          </cell>
          <cell r="C33" t="str">
            <v>(11)</v>
          </cell>
          <cell r="E33" t="str">
            <v>(2) 14,54</v>
          </cell>
          <cell r="F33" t="str">
            <v>(1) 14,90</v>
          </cell>
          <cell r="G33" t="str">
            <v>(3) 18,09</v>
          </cell>
          <cell r="H33" t="str">
            <v>(2) 17,88</v>
          </cell>
          <cell r="I33" t="str">
            <v>(0) 12,62</v>
          </cell>
          <cell r="J33" t="str">
            <v>(3) 15,07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</row>
        <row r="34">
          <cell r="A34">
            <v>9</v>
          </cell>
          <cell r="B34" t="str">
            <v>HOT SLOT FOR YOU</v>
          </cell>
          <cell r="C34">
            <v>453</v>
          </cell>
          <cell r="D34" t="str">
            <v>,098</v>
          </cell>
          <cell r="E34">
            <v>80</v>
          </cell>
          <cell r="F34">
            <v>80</v>
          </cell>
          <cell r="G34">
            <v>71</v>
          </cell>
          <cell r="H34">
            <v>73</v>
          </cell>
          <cell r="I34">
            <v>74</v>
          </cell>
          <cell r="J34">
            <v>75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B35" t="str">
            <v>Vuelta rápida</v>
          </cell>
          <cell r="E35">
            <v>10.912000000000001</v>
          </cell>
          <cell r="F35">
            <v>10.896000000000001</v>
          </cell>
          <cell r="G35">
            <v>11.423999999999999</v>
          </cell>
          <cell r="H35">
            <v>11.624000000000001</v>
          </cell>
          <cell r="I35">
            <v>11.525</v>
          </cell>
          <cell r="J35">
            <v>11.455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B36" t="str">
            <v>Vuelta media</v>
          </cell>
          <cell r="E36">
            <v>11.266999999999999</v>
          </cell>
          <cell r="F36">
            <v>11.303000000000001</v>
          </cell>
          <cell r="G36">
            <v>12.577</v>
          </cell>
          <cell r="H36">
            <v>12.361000000000001</v>
          </cell>
          <cell r="I36">
            <v>12.218999999999999</v>
          </cell>
          <cell r="J36">
            <v>11.928000000000001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B37" t="str">
            <v>Vuelta   lenta</v>
          </cell>
          <cell r="C37" t="str">
            <v>(50)</v>
          </cell>
          <cell r="E37" t="str">
            <v>(6) 14,96</v>
          </cell>
          <cell r="F37" t="str">
            <v>(6) 15,19</v>
          </cell>
          <cell r="G37" t="str">
            <v>(13)37,03</v>
          </cell>
          <cell r="H37" t="str">
            <v>(10)17,22</v>
          </cell>
          <cell r="I37" t="str">
            <v>(9) 16,44</v>
          </cell>
          <cell r="J37" t="str">
            <v>(6) 18,33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A38">
            <v>10</v>
          </cell>
          <cell r="B38" t="str">
            <v>SLOTMANIA-RIDERS</v>
          </cell>
          <cell r="C38">
            <v>453</v>
          </cell>
          <cell r="D38" t="str">
            <v>,024</v>
          </cell>
          <cell r="E38">
            <v>77</v>
          </cell>
          <cell r="F38">
            <v>76</v>
          </cell>
          <cell r="G38">
            <v>76</v>
          </cell>
          <cell r="H38">
            <v>77</v>
          </cell>
          <cell r="I38">
            <v>74</v>
          </cell>
          <cell r="J38">
            <v>73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B39" t="str">
            <v>Vuelta rápida</v>
          </cell>
          <cell r="E39">
            <v>11.481999999999999</v>
          </cell>
          <cell r="F39">
            <v>11.545</v>
          </cell>
          <cell r="G39">
            <v>11.734999999999999</v>
          </cell>
          <cell r="H39">
            <v>11.318</v>
          </cell>
          <cell r="I39">
            <v>11.728999999999999</v>
          </cell>
          <cell r="J39">
            <v>11.802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B40" t="str">
            <v>Vuelta media</v>
          </cell>
          <cell r="E40">
            <v>11.762</v>
          </cell>
          <cell r="F40">
            <v>11.824</v>
          </cell>
          <cell r="G40">
            <v>11.952999999999999</v>
          </cell>
          <cell r="H40">
            <v>11.712</v>
          </cell>
          <cell r="I40">
            <v>12.122999999999999</v>
          </cell>
          <cell r="J40">
            <v>12.298999999999999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B41" t="str">
            <v>Vuelta   lenta</v>
          </cell>
          <cell r="C41" t="str">
            <v>(15)</v>
          </cell>
          <cell r="E41" t="str">
            <v>(0) 12,74</v>
          </cell>
          <cell r="F41" t="str">
            <v>(1) 15,28</v>
          </cell>
          <cell r="G41" t="str">
            <v>(1) 13,39</v>
          </cell>
          <cell r="H41" t="str">
            <v>(3) 16,03</v>
          </cell>
          <cell r="I41" t="str">
            <v>(5) 15,86</v>
          </cell>
          <cell r="J41" t="str">
            <v>(5) 21,11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A42">
            <v>11</v>
          </cell>
          <cell r="B42" t="str">
            <v>SLOT34YOU</v>
          </cell>
          <cell r="C42">
            <v>452</v>
          </cell>
          <cell r="D42" t="str">
            <v>,074</v>
          </cell>
          <cell r="E42">
            <v>76</v>
          </cell>
          <cell r="F42">
            <v>77</v>
          </cell>
          <cell r="G42">
            <v>76</v>
          </cell>
          <cell r="H42">
            <v>75</v>
          </cell>
          <cell r="I42">
            <v>75</v>
          </cell>
          <cell r="J42">
            <v>73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B43" t="str">
            <v>Vuelta rápida</v>
          </cell>
          <cell r="E43">
            <v>11.286</v>
          </cell>
          <cell r="F43">
            <v>11.372</v>
          </cell>
          <cell r="G43">
            <v>11.260999999999999</v>
          </cell>
          <cell r="H43">
            <v>11.417999999999999</v>
          </cell>
          <cell r="I43">
            <v>11.744</v>
          </cell>
          <cell r="J43">
            <v>11.888999999999999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B44" t="str">
            <v>Vuelta media</v>
          </cell>
          <cell r="E44">
            <v>11.765000000000001</v>
          </cell>
          <cell r="F44">
            <v>11.71</v>
          </cell>
          <cell r="G44">
            <v>11.83</v>
          </cell>
          <cell r="H44">
            <v>11.978</v>
          </cell>
          <cell r="I44">
            <v>12.112</v>
          </cell>
          <cell r="J44">
            <v>12.351000000000001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B45" t="str">
            <v>Vuelta   lenta</v>
          </cell>
          <cell r="C45" t="str">
            <v>(26)</v>
          </cell>
          <cell r="E45" t="str">
            <v>(4) 16,73</v>
          </cell>
          <cell r="F45" t="str">
            <v>(2) 14,21</v>
          </cell>
          <cell r="G45" t="str">
            <v>(7) 17,22</v>
          </cell>
          <cell r="H45" t="str">
            <v>(4) 18,40</v>
          </cell>
          <cell r="I45" t="str">
            <v>(3) 15,63</v>
          </cell>
          <cell r="J45" t="str">
            <v>(6) 14,96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46">
          <cell r="A46">
            <v>12</v>
          </cell>
          <cell r="B46" t="str">
            <v>SLOTMANIA-BIKE</v>
          </cell>
          <cell r="C46">
            <v>450</v>
          </cell>
          <cell r="D46" t="str">
            <v>,016</v>
          </cell>
          <cell r="E46">
            <v>76</v>
          </cell>
          <cell r="F46">
            <v>75</v>
          </cell>
          <cell r="G46">
            <v>76</v>
          </cell>
          <cell r="H46">
            <v>76</v>
          </cell>
          <cell r="I46">
            <v>75</v>
          </cell>
          <cell r="J46">
            <v>72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</row>
        <row r="47">
          <cell r="B47" t="str">
            <v>Vuelta rápida</v>
          </cell>
          <cell r="E47">
            <v>11.547000000000001</v>
          </cell>
          <cell r="F47">
            <v>11.441000000000001</v>
          </cell>
          <cell r="G47">
            <v>11.587</v>
          </cell>
          <cell r="H47">
            <v>11.467000000000001</v>
          </cell>
          <cell r="I47">
            <v>11.670999999999999</v>
          </cell>
          <cell r="J47">
            <v>11.788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</row>
        <row r="48">
          <cell r="B48" t="str">
            <v>Vuelta media</v>
          </cell>
          <cell r="E48">
            <v>11.875999999999999</v>
          </cell>
          <cell r="F48">
            <v>11.99</v>
          </cell>
          <cell r="G48">
            <v>11.836</v>
          </cell>
          <cell r="H48">
            <v>11.925000000000001</v>
          </cell>
          <cell r="I48">
            <v>12.064</v>
          </cell>
          <cell r="J48">
            <v>12.443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B49" t="str">
            <v>Vuelta   lenta</v>
          </cell>
          <cell r="C49" t="str">
            <v>(25)</v>
          </cell>
          <cell r="E49" t="str">
            <v>(3) 15,37</v>
          </cell>
          <cell r="F49" t="str">
            <v>(5) 17,77</v>
          </cell>
          <cell r="G49" t="str">
            <v>(3) 14,00</v>
          </cell>
          <cell r="H49" t="str">
            <v>(4) 18,15</v>
          </cell>
          <cell r="I49" t="str">
            <v>(3) 15,39</v>
          </cell>
          <cell r="J49" t="str">
            <v>(7) 18,77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>
            <v>13</v>
          </cell>
          <cell r="B50" t="str">
            <v>EL SOT-WARRIORS</v>
          </cell>
          <cell r="C50">
            <v>449</v>
          </cell>
          <cell r="D50" t="str">
            <v>,093</v>
          </cell>
          <cell r="E50">
            <v>75</v>
          </cell>
          <cell r="F50">
            <v>76</v>
          </cell>
          <cell r="G50">
            <v>76</v>
          </cell>
          <cell r="H50">
            <v>77</v>
          </cell>
          <cell r="I50">
            <v>75</v>
          </cell>
          <cell r="J50">
            <v>70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B51" t="str">
            <v>Vuelta rápida</v>
          </cell>
          <cell r="E51">
            <v>11.57</v>
          </cell>
          <cell r="F51">
            <v>11.397</v>
          </cell>
          <cell r="G51">
            <v>11.552</v>
          </cell>
          <cell r="H51">
            <v>11.499000000000001</v>
          </cell>
          <cell r="I51">
            <v>11.670999999999999</v>
          </cell>
          <cell r="J51">
            <v>12.012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B52" t="str">
            <v>Vuelta media</v>
          </cell>
          <cell r="E52">
            <v>12.042999999999999</v>
          </cell>
          <cell r="F52">
            <v>11.832000000000001</v>
          </cell>
          <cell r="G52">
            <v>11.907999999999999</v>
          </cell>
          <cell r="H52">
            <v>11.693</v>
          </cell>
          <cell r="I52">
            <v>11.98</v>
          </cell>
          <cell r="J52">
            <v>12.803000000000001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B53" t="str">
            <v>Vuelta   lenta</v>
          </cell>
          <cell r="C53" t="str">
            <v>(19)</v>
          </cell>
          <cell r="E53" t="str">
            <v>(5) 15,49</v>
          </cell>
          <cell r="F53" t="str">
            <v>(4) 14,69</v>
          </cell>
          <cell r="G53" t="str">
            <v>(2) 16,41</v>
          </cell>
          <cell r="H53" t="str">
            <v>(0) 12,09</v>
          </cell>
          <cell r="I53" t="str">
            <v>(0) 12,45</v>
          </cell>
          <cell r="J53" t="str">
            <v>(8) 18,83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A54">
            <v>14</v>
          </cell>
          <cell r="B54" t="str">
            <v>SLOT FOR YOU</v>
          </cell>
          <cell r="C54">
            <v>448</v>
          </cell>
          <cell r="D54" t="str">
            <v>,008</v>
          </cell>
          <cell r="E54">
            <v>78</v>
          </cell>
          <cell r="F54">
            <v>79</v>
          </cell>
          <cell r="G54">
            <v>62</v>
          </cell>
          <cell r="H54">
            <v>78</v>
          </cell>
          <cell r="I54">
            <v>77</v>
          </cell>
          <cell r="J54">
            <v>74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B55" t="str">
            <v>Vuelta rápida</v>
          </cell>
          <cell r="E55">
            <v>11.055</v>
          </cell>
          <cell r="F55">
            <v>11.013999999999999</v>
          </cell>
          <cell r="G55">
            <v>11.247999999999999</v>
          </cell>
          <cell r="H55">
            <v>11.236000000000001</v>
          </cell>
          <cell r="I55">
            <v>11.391999999999999</v>
          </cell>
          <cell r="J55">
            <v>11.644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B56" t="str">
            <v>Vuelta media</v>
          </cell>
          <cell r="E56">
            <v>11.564</v>
          </cell>
          <cell r="F56">
            <v>11.382999999999999</v>
          </cell>
          <cell r="G56">
            <v>14.705</v>
          </cell>
          <cell r="H56">
            <v>11.542999999999999</v>
          </cell>
          <cell r="I56">
            <v>11.696999999999999</v>
          </cell>
          <cell r="J56">
            <v>12.159000000000001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B57" t="str">
            <v>Vuelta   lenta</v>
          </cell>
          <cell r="C57" t="str">
            <v>(24)</v>
          </cell>
          <cell r="E57" t="str">
            <v>(4) 17,85</v>
          </cell>
          <cell r="F57" t="str">
            <v>(4) 15,06</v>
          </cell>
          <cell r="G57" t="str">
            <v>(5) 200,3</v>
          </cell>
          <cell r="H57" t="str">
            <v>(2) 14,23</v>
          </cell>
          <cell r="I57" t="str">
            <v>(3) 14,55</v>
          </cell>
          <cell r="J57" t="str">
            <v>(6) 17,16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</row>
        <row r="58">
          <cell r="A58">
            <v>15</v>
          </cell>
          <cell r="B58" t="str">
            <v>SLOT FOR YOU-CUIDADIN</v>
          </cell>
          <cell r="C58">
            <v>442</v>
          </cell>
          <cell r="D58" t="str">
            <v>,012</v>
          </cell>
          <cell r="E58">
            <v>76</v>
          </cell>
          <cell r="F58">
            <v>75</v>
          </cell>
          <cell r="G58">
            <v>75</v>
          </cell>
          <cell r="H58">
            <v>73</v>
          </cell>
          <cell r="I58">
            <v>74</v>
          </cell>
          <cell r="J58">
            <v>69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B59" t="str">
            <v>Vuelta rápida</v>
          </cell>
          <cell r="E59">
            <v>11.547000000000001</v>
          </cell>
          <cell r="F59">
            <v>11.634</v>
          </cell>
          <cell r="G59">
            <v>11.666</v>
          </cell>
          <cell r="H59">
            <v>11.683</v>
          </cell>
          <cell r="I59">
            <v>11.695</v>
          </cell>
          <cell r="J59">
            <v>12.068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</row>
        <row r="60">
          <cell r="B60" t="str">
            <v>Vuelta media</v>
          </cell>
          <cell r="E60">
            <v>11.827999999999999</v>
          </cell>
          <cell r="F60">
            <v>11.949</v>
          </cell>
          <cell r="G60">
            <v>12.012</v>
          </cell>
          <cell r="H60">
            <v>12.403</v>
          </cell>
          <cell r="I60">
            <v>12.206</v>
          </cell>
          <cell r="J60">
            <v>13.166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B61" t="str">
            <v>Vuelta   lenta</v>
          </cell>
          <cell r="C61" t="str">
            <v>(33)</v>
          </cell>
          <cell r="E61" t="str">
            <v>(2) 13,94</v>
          </cell>
          <cell r="F61" t="str">
            <v>(1) 16,63</v>
          </cell>
          <cell r="G61" t="str">
            <v>(2) 17,51</v>
          </cell>
          <cell r="H61" t="str">
            <v>(11)16,02</v>
          </cell>
          <cell r="I61" t="str">
            <v>(3) 18,14</v>
          </cell>
          <cell r="J61" t="str">
            <v>(14)23,06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>
            <v>16</v>
          </cell>
          <cell r="B62" t="str">
            <v>GASCLAVAT</v>
          </cell>
          <cell r="C62">
            <v>437</v>
          </cell>
          <cell r="D62" t="str">
            <v>,100</v>
          </cell>
          <cell r="E62">
            <v>73</v>
          </cell>
          <cell r="F62">
            <v>74</v>
          </cell>
          <cell r="G62">
            <v>72</v>
          </cell>
          <cell r="H62">
            <v>72</v>
          </cell>
          <cell r="I62">
            <v>74</v>
          </cell>
          <cell r="J62">
            <v>72</v>
          </cell>
          <cell r="O62" t="str">
            <v>EQUIP</v>
          </cell>
          <cell r="P62" t="str">
            <v>MAN</v>
          </cell>
          <cell r="Q62" t="str">
            <v>#</v>
          </cell>
          <cell r="R62" t="str">
            <v>P-CUR</v>
          </cell>
          <cell r="S62" t="str">
            <v>P-MAN</v>
          </cell>
        </row>
        <row r="63">
          <cell r="B63" t="str">
            <v>Vuelta rápida</v>
          </cell>
          <cell r="E63">
            <v>11.61</v>
          </cell>
          <cell r="F63">
            <v>11.651</v>
          </cell>
          <cell r="G63">
            <v>11.512</v>
          </cell>
          <cell r="H63">
            <v>11.9</v>
          </cell>
          <cell r="I63">
            <v>11.853999999999999</v>
          </cell>
          <cell r="J63">
            <v>12.128</v>
          </cell>
          <cell r="N63" t="e">
            <v>#N/A</v>
          </cell>
          <cell r="O63" t="str">
            <v>MOMO RALLY</v>
          </cell>
          <cell r="P63">
            <v>1</v>
          </cell>
          <cell r="Q63">
            <v>1</v>
          </cell>
          <cell r="R63" t="e">
            <v>#N/A</v>
          </cell>
          <cell r="S63" t="e">
            <v>#N/A</v>
          </cell>
        </row>
        <row r="64">
          <cell r="B64" t="str">
            <v>Vuelta media</v>
          </cell>
          <cell r="E64">
            <v>12.406000000000001</v>
          </cell>
          <cell r="F64">
            <v>12.162000000000001</v>
          </cell>
          <cell r="G64">
            <v>12.438000000000001</v>
          </cell>
          <cell r="H64">
            <v>12.518000000000001</v>
          </cell>
          <cell r="I64">
            <v>12.164999999999999</v>
          </cell>
          <cell r="J64">
            <v>12.519</v>
          </cell>
          <cell r="N64">
            <v>10</v>
          </cell>
          <cell r="O64" t="str">
            <v>?</v>
          </cell>
          <cell r="P64">
            <v>1</v>
          </cell>
          <cell r="Q64">
            <v>2</v>
          </cell>
          <cell r="R64" t="str">
            <v>?</v>
          </cell>
          <cell r="S64">
            <v>0</v>
          </cell>
        </row>
        <row r="65">
          <cell r="B65" t="str">
            <v>Vuelta   lenta</v>
          </cell>
          <cell r="C65" t="str">
            <v>(47)</v>
          </cell>
          <cell r="E65" t="str">
            <v>(14)15,74</v>
          </cell>
          <cell r="F65" t="str">
            <v>(6) 16,21</v>
          </cell>
          <cell r="G65" t="str">
            <v>(13)17,35</v>
          </cell>
          <cell r="H65" t="str">
            <v>(8) 18,00</v>
          </cell>
          <cell r="I65" t="str">
            <v>(1) 15,00</v>
          </cell>
          <cell r="J65" t="str">
            <v>(5) 15,47</v>
          </cell>
          <cell r="N65" t="e">
            <v>#N/A</v>
          </cell>
          <cell r="O65" t="str">
            <v>EL SOT-M&amp;M</v>
          </cell>
          <cell r="P65">
            <v>1</v>
          </cell>
          <cell r="Q65">
            <v>3</v>
          </cell>
          <cell r="R65">
            <v>19</v>
          </cell>
          <cell r="S65" t="e">
            <v>#N/A</v>
          </cell>
        </row>
        <row r="66">
          <cell r="A66">
            <v>17</v>
          </cell>
          <cell r="B66" t="str">
            <v>SLOTSAB-JUNIOR</v>
          </cell>
          <cell r="C66">
            <v>437</v>
          </cell>
          <cell r="D66" t="str">
            <v>,017</v>
          </cell>
          <cell r="E66">
            <v>75</v>
          </cell>
          <cell r="F66">
            <v>73</v>
          </cell>
          <cell r="G66">
            <v>74</v>
          </cell>
          <cell r="H66">
            <v>73</v>
          </cell>
          <cell r="I66">
            <v>72</v>
          </cell>
          <cell r="J66">
            <v>70</v>
          </cell>
          <cell r="N66" t="e">
            <v>#N/A</v>
          </cell>
          <cell r="O66" t="str">
            <v>SLOTFOURMANIA</v>
          </cell>
          <cell r="P66">
            <v>1</v>
          </cell>
          <cell r="Q66">
            <v>4</v>
          </cell>
          <cell r="R66">
            <v>20</v>
          </cell>
          <cell r="S66" t="e">
            <v>#N/A</v>
          </cell>
        </row>
        <row r="67">
          <cell r="B67" t="str">
            <v>Vuelta rápida</v>
          </cell>
          <cell r="E67">
            <v>11.176</v>
          </cell>
          <cell r="F67">
            <v>11.176</v>
          </cell>
          <cell r="G67">
            <v>11.364000000000001</v>
          </cell>
          <cell r="H67">
            <v>11.327</v>
          </cell>
          <cell r="I67">
            <v>11.601000000000001</v>
          </cell>
          <cell r="J67">
            <v>11.884</v>
          </cell>
          <cell r="N67" t="e">
            <v>#N/A</v>
          </cell>
          <cell r="O67" t="str">
            <v>ACTUALSLOT</v>
          </cell>
          <cell r="P67">
            <v>1</v>
          </cell>
          <cell r="Q67">
            <v>5</v>
          </cell>
          <cell r="R67" t="e">
            <v>#N/A</v>
          </cell>
          <cell r="S67" t="e">
            <v>#N/A</v>
          </cell>
        </row>
        <row r="68">
          <cell r="B68" t="str">
            <v>Vuelta media</v>
          </cell>
          <cell r="E68">
            <v>12.015000000000001</v>
          </cell>
          <cell r="F68">
            <v>12.367000000000001</v>
          </cell>
          <cell r="G68">
            <v>12.22</v>
          </cell>
          <cell r="H68">
            <v>12.298999999999999</v>
          </cell>
          <cell r="I68">
            <v>12.561999999999999</v>
          </cell>
          <cell r="J68">
            <v>12.917</v>
          </cell>
          <cell r="N68" t="e">
            <v>#N/A</v>
          </cell>
          <cell r="O68" t="str">
            <v>EL SOT</v>
          </cell>
          <cell r="P68">
            <v>1</v>
          </cell>
          <cell r="Q68">
            <v>6</v>
          </cell>
          <cell r="R68" t="e">
            <v>#N/A</v>
          </cell>
          <cell r="S68" t="e">
            <v>#N/A</v>
          </cell>
        </row>
        <row r="69">
          <cell r="B69" t="str">
            <v>Vuelta   lenta</v>
          </cell>
          <cell r="C69" t="str">
            <v>(91)</v>
          </cell>
          <cell r="E69" t="str">
            <v>(13)15,35</v>
          </cell>
          <cell r="F69" t="str">
            <v>(19)20,17</v>
          </cell>
          <cell r="G69" t="str">
            <v>(12)20,11</v>
          </cell>
          <cell r="H69" t="str">
            <v>(15)18,43</v>
          </cell>
          <cell r="I69" t="str">
            <v>(13)18,61</v>
          </cell>
          <cell r="J69" t="str">
            <v>(19)21,09</v>
          </cell>
          <cell r="N69" t="e">
            <v>#N/A</v>
          </cell>
          <cell r="O69" t="str">
            <v>GASCLAVAT-4</v>
          </cell>
          <cell r="P69">
            <v>1</v>
          </cell>
          <cell r="Q69">
            <v>7</v>
          </cell>
          <cell r="R69" t="e">
            <v>#N/A</v>
          </cell>
          <cell r="S69" t="e">
            <v>#N/A</v>
          </cell>
        </row>
        <row r="70">
          <cell r="A70">
            <v>18</v>
          </cell>
          <cell r="B70" t="str">
            <v>DZERO TEAM-PADDOCK</v>
          </cell>
          <cell r="C70">
            <v>431</v>
          </cell>
          <cell r="D70" t="str">
            <v>,099</v>
          </cell>
          <cell r="E70">
            <v>72</v>
          </cell>
          <cell r="F70">
            <v>73</v>
          </cell>
          <cell r="G70">
            <v>71</v>
          </cell>
          <cell r="H70">
            <v>73</v>
          </cell>
          <cell r="I70">
            <v>72</v>
          </cell>
          <cell r="J70">
            <v>70</v>
          </cell>
          <cell r="N70">
            <v>10</v>
          </cell>
          <cell r="O70" t="str">
            <v>?</v>
          </cell>
          <cell r="P70">
            <v>1</v>
          </cell>
          <cell r="Q70">
            <v>8</v>
          </cell>
          <cell r="R70" t="str">
            <v>?</v>
          </cell>
          <cell r="S70">
            <v>0</v>
          </cell>
        </row>
        <row r="71">
          <cell r="B71" t="str">
            <v>Vuelta rápida</v>
          </cell>
          <cell r="E71">
            <v>11.837</v>
          </cell>
          <cell r="F71">
            <v>11.833</v>
          </cell>
          <cell r="G71">
            <v>11.932</v>
          </cell>
          <cell r="H71">
            <v>11.776999999999999</v>
          </cell>
          <cell r="I71">
            <v>11.976000000000001</v>
          </cell>
          <cell r="J71">
            <v>12.115</v>
          </cell>
          <cell r="N71">
            <v>10</v>
          </cell>
          <cell r="O71" t="str">
            <v>?</v>
          </cell>
          <cell r="P71">
            <v>1</v>
          </cell>
          <cell r="Q71">
            <v>9</v>
          </cell>
          <cell r="R71" t="str">
            <v>?</v>
          </cell>
          <cell r="S71">
            <v>0</v>
          </cell>
        </row>
        <row r="72">
          <cell r="B72" t="str">
            <v>Vuelta media</v>
          </cell>
          <cell r="E72">
            <v>12.433</v>
          </cell>
          <cell r="F72">
            <v>12.417</v>
          </cell>
          <cell r="G72">
            <v>12.691000000000001</v>
          </cell>
          <cell r="H72">
            <v>12.356</v>
          </cell>
          <cell r="I72">
            <v>12.523</v>
          </cell>
          <cell r="J72">
            <v>12.755000000000001</v>
          </cell>
          <cell r="N72">
            <v>10</v>
          </cell>
          <cell r="O72" t="str">
            <v>?</v>
          </cell>
          <cell r="P72">
            <v>1</v>
          </cell>
          <cell r="Q72">
            <v>10</v>
          </cell>
          <cell r="R72" t="str">
            <v>?</v>
          </cell>
          <cell r="S72">
            <v>0</v>
          </cell>
        </row>
        <row r="73">
          <cell r="B73" t="str">
            <v>Vuelta   lenta</v>
          </cell>
          <cell r="C73" t="str">
            <v>(37)</v>
          </cell>
          <cell r="E73" t="str">
            <v>(6) 16,64</v>
          </cell>
          <cell r="F73" t="str">
            <v>(5) 15,54</v>
          </cell>
          <cell r="G73" t="str">
            <v>(8) 20,92</v>
          </cell>
          <cell r="H73" t="str">
            <v>(6) 17,76</v>
          </cell>
          <cell r="I73" t="str">
            <v>(4) 16,74</v>
          </cell>
          <cell r="J73" t="str">
            <v>(8) 16,50</v>
          </cell>
          <cell r="N73">
            <v>21</v>
          </cell>
          <cell r="O73" t="str">
            <v>CRIC-CRAC</v>
          </cell>
          <cell r="P73">
            <v>2</v>
          </cell>
          <cell r="Q73">
            <v>1</v>
          </cell>
          <cell r="R73">
            <v>2</v>
          </cell>
          <cell r="S73">
            <v>1</v>
          </cell>
        </row>
        <row r="74">
          <cell r="A74">
            <v>19</v>
          </cell>
          <cell r="B74" t="str">
            <v>EL SOT-M&amp;M</v>
          </cell>
          <cell r="C74">
            <v>430</v>
          </cell>
          <cell r="D74" t="str">
            <v>,095</v>
          </cell>
          <cell r="E74">
            <v>72</v>
          </cell>
          <cell r="F74">
            <v>72</v>
          </cell>
          <cell r="G74">
            <v>71</v>
          </cell>
          <cell r="H74">
            <v>71</v>
          </cell>
          <cell r="I74">
            <v>72</v>
          </cell>
          <cell r="J74">
            <v>72</v>
          </cell>
          <cell r="N74">
            <v>22</v>
          </cell>
          <cell r="O74" t="str">
            <v>EL SOT-FU</v>
          </cell>
          <cell r="P74">
            <v>2</v>
          </cell>
          <cell r="Q74">
            <v>2</v>
          </cell>
          <cell r="R74">
            <v>6</v>
          </cell>
          <cell r="S74">
            <v>2</v>
          </cell>
        </row>
        <row r="75">
          <cell r="B75" t="str">
            <v>Vuelta rápida</v>
          </cell>
          <cell r="E75">
            <v>11.802</v>
          </cell>
          <cell r="F75">
            <v>11.803000000000001</v>
          </cell>
          <cell r="G75">
            <v>11.839</v>
          </cell>
          <cell r="H75">
            <v>11.925000000000001</v>
          </cell>
          <cell r="I75">
            <v>12.037000000000001</v>
          </cell>
          <cell r="J75">
            <v>12.186999999999999</v>
          </cell>
          <cell r="N75">
            <v>20</v>
          </cell>
          <cell r="O75" t="str">
            <v>?</v>
          </cell>
          <cell r="P75">
            <v>2</v>
          </cell>
          <cell r="Q75">
            <v>3</v>
          </cell>
          <cell r="R75" t="str">
            <v>?</v>
          </cell>
          <cell r="S75">
            <v>0</v>
          </cell>
        </row>
        <row r="76">
          <cell r="B76" t="str">
            <v>Vuelta media</v>
          </cell>
          <cell r="E76">
            <v>12.537000000000001</v>
          </cell>
          <cell r="F76">
            <v>12.521000000000001</v>
          </cell>
          <cell r="G76">
            <v>12.788</v>
          </cell>
          <cell r="H76">
            <v>12.598000000000001</v>
          </cell>
          <cell r="I76">
            <v>12.388999999999999</v>
          </cell>
          <cell r="J76">
            <v>12.529</v>
          </cell>
          <cell r="N76">
            <v>23</v>
          </cell>
          <cell r="O76" t="str">
            <v>SLOTMANIA-RIDERS</v>
          </cell>
          <cell r="P76">
            <v>2</v>
          </cell>
          <cell r="Q76">
            <v>4</v>
          </cell>
          <cell r="R76">
            <v>10</v>
          </cell>
          <cell r="S76">
            <v>3</v>
          </cell>
        </row>
        <row r="77">
          <cell r="B77" t="str">
            <v>Vuelta   lenta</v>
          </cell>
          <cell r="C77" t="str">
            <v>(44)</v>
          </cell>
          <cell r="E77" t="str">
            <v>(10)21,02</v>
          </cell>
          <cell r="F77" t="str">
            <v>(9) 18,27</v>
          </cell>
          <cell r="G77" t="str">
            <v>(13)17,86</v>
          </cell>
          <cell r="H77" t="str">
            <v>(7) 17,63</v>
          </cell>
          <cell r="I77" t="str">
            <v>(3) 14,87</v>
          </cell>
          <cell r="J77" t="str">
            <v>(2) 14,94</v>
          </cell>
          <cell r="N77">
            <v>24</v>
          </cell>
          <cell r="O77" t="str">
            <v>SLOT FOR YOU-CUIDADIN</v>
          </cell>
          <cell r="P77">
            <v>2</v>
          </cell>
          <cell r="Q77">
            <v>5</v>
          </cell>
          <cell r="R77">
            <v>15</v>
          </cell>
          <cell r="S77">
            <v>4</v>
          </cell>
        </row>
        <row r="78">
          <cell r="A78">
            <v>20</v>
          </cell>
          <cell r="B78" t="str">
            <v>SLOTFOURMANIA</v>
          </cell>
          <cell r="C78">
            <v>386</v>
          </cell>
          <cell r="D78" t="str">
            <v>,117</v>
          </cell>
          <cell r="E78">
            <v>64</v>
          </cell>
          <cell r="F78">
            <v>66</v>
          </cell>
          <cell r="G78">
            <v>66</v>
          </cell>
          <cell r="H78">
            <v>63</v>
          </cell>
          <cell r="I78">
            <v>63</v>
          </cell>
          <cell r="J78">
            <v>64</v>
          </cell>
          <cell r="N78">
            <v>26</v>
          </cell>
          <cell r="O78" t="str">
            <v>DZERO TEAM-PADDOCK</v>
          </cell>
          <cell r="P78">
            <v>2</v>
          </cell>
          <cell r="Q78">
            <v>6</v>
          </cell>
          <cell r="R78">
            <v>18</v>
          </cell>
          <cell r="S78">
            <v>6</v>
          </cell>
        </row>
        <row r="79">
          <cell r="B79" t="str">
            <v>Vuelta rápida</v>
          </cell>
          <cell r="E79">
            <v>12.625999999999999</v>
          </cell>
          <cell r="F79">
            <v>12.414999999999999</v>
          </cell>
          <cell r="G79">
            <v>12.425000000000001</v>
          </cell>
          <cell r="H79">
            <v>12.436</v>
          </cell>
          <cell r="I79">
            <v>12.77</v>
          </cell>
          <cell r="J79">
            <v>12.792999999999999</v>
          </cell>
          <cell r="N79">
            <v>25</v>
          </cell>
          <cell r="O79" t="str">
            <v>SLOTSAB-JUNIOR</v>
          </cell>
          <cell r="P79">
            <v>2</v>
          </cell>
          <cell r="Q79">
            <v>7</v>
          </cell>
          <cell r="R79">
            <v>17</v>
          </cell>
          <cell r="S79">
            <v>5</v>
          </cell>
        </row>
        <row r="80">
          <cell r="B80" t="str">
            <v>Vuelta media</v>
          </cell>
          <cell r="E80">
            <v>14.035</v>
          </cell>
          <cell r="F80">
            <v>13.718999999999999</v>
          </cell>
          <cell r="G80">
            <v>13.666</v>
          </cell>
          <cell r="H80">
            <v>14.278</v>
          </cell>
          <cell r="I80">
            <v>14.151</v>
          </cell>
          <cell r="J80">
            <v>14.137</v>
          </cell>
          <cell r="N80">
            <v>20</v>
          </cell>
          <cell r="O80" t="str">
            <v>?</v>
          </cell>
          <cell r="P80">
            <v>2</v>
          </cell>
          <cell r="Q80">
            <v>8</v>
          </cell>
          <cell r="R80" t="str">
            <v>?</v>
          </cell>
          <cell r="S80">
            <v>0</v>
          </cell>
        </row>
        <row r="81">
          <cell r="B81" t="str">
            <v>Vuelta   lenta</v>
          </cell>
          <cell r="C81" t="str">
            <v>(104)</v>
          </cell>
          <cell r="E81" t="str">
            <v>(23)18,82</v>
          </cell>
          <cell r="F81" t="str">
            <v>(16)22,41</v>
          </cell>
          <cell r="G81" t="str">
            <v>(14)19,96</v>
          </cell>
          <cell r="H81" t="str">
            <v>(15)56,27</v>
          </cell>
          <cell r="I81" t="str">
            <v>(20)17,63</v>
          </cell>
          <cell r="J81" t="str">
            <v>(16)21,10</v>
          </cell>
          <cell r="N81">
            <v>20</v>
          </cell>
          <cell r="O81" t="str">
            <v>?</v>
          </cell>
          <cell r="P81">
            <v>2</v>
          </cell>
          <cell r="Q81">
            <v>9</v>
          </cell>
          <cell r="R81" t="str">
            <v>?</v>
          </cell>
          <cell r="S81">
            <v>0</v>
          </cell>
        </row>
        <row r="82">
          <cell r="N82">
            <v>20</v>
          </cell>
          <cell r="O82" t="str">
            <v>?</v>
          </cell>
          <cell r="P82">
            <v>2</v>
          </cell>
          <cell r="Q82">
            <v>10</v>
          </cell>
          <cell r="R82" t="str">
            <v>?</v>
          </cell>
          <cell r="S82">
            <v>0</v>
          </cell>
        </row>
        <row r="83">
          <cell r="N83" t="e">
            <v>#N/A</v>
          </cell>
          <cell r="O83" t="str">
            <v>EL SOT-TEAM</v>
          </cell>
          <cell r="P83">
            <v>3</v>
          </cell>
          <cell r="Q83">
            <v>1</v>
          </cell>
          <cell r="R83">
            <v>1</v>
          </cell>
          <cell r="S83" t="e">
            <v>#N/A</v>
          </cell>
        </row>
        <row r="84">
          <cell r="N84" t="e">
            <v>#N/A</v>
          </cell>
          <cell r="O84" t="str">
            <v>SLOT FOR YOU</v>
          </cell>
          <cell r="P84">
            <v>3</v>
          </cell>
          <cell r="Q84">
            <v>2</v>
          </cell>
          <cell r="R84">
            <v>14</v>
          </cell>
          <cell r="S84" t="e">
            <v>#N/A</v>
          </cell>
        </row>
        <row r="85">
          <cell r="N85" t="e">
            <v>#N/A</v>
          </cell>
          <cell r="O85" t="str">
            <v>HOT SLOT FOR YOU</v>
          </cell>
          <cell r="P85">
            <v>3</v>
          </cell>
          <cell r="Q85">
            <v>3</v>
          </cell>
          <cell r="R85">
            <v>9</v>
          </cell>
          <cell r="S85" t="e">
            <v>#N/A</v>
          </cell>
        </row>
        <row r="86">
          <cell r="N86" t="e">
            <v>#N/A</v>
          </cell>
          <cell r="O86" t="str">
            <v>DREAM SLOT-ESTEL·LATS</v>
          </cell>
          <cell r="P86">
            <v>3</v>
          </cell>
          <cell r="Q86">
            <v>4</v>
          </cell>
          <cell r="R86">
            <v>3</v>
          </cell>
          <cell r="S86" t="e">
            <v>#N/A</v>
          </cell>
        </row>
        <row r="87">
          <cell r="N87" t="e">
            <v>#N/A</v>
          </cell>
          <cell r="O87" t="str">
            <v>SLOT34YOU</v>
          </cell>
          <cell r="P87">
            <v>3</v>
          </cell>
          <cell r="Q87">
            <v>5</v>
          </cell>
          <cell r="R87">
            <v>11</v>
          </cell>
          <cell r="S87" t="e">
            <v>#N/A</v>
          </cell>
        </row>
        <row r="88">
          <cell r="N88" t="e">
            <v>#N/A</v>
          </cell>
          <cell r="O88" t="str">
            <v>EL SOT-SPORT</v>
          </cell>
          <cell r="P88">
            <v>3</v>
          </cell>
          <cell r="Q88">
            <v>6</v>
          </cell>
          <cell r="R88" t="e">
            <v>#N/A</v>
          </cell>
          <cell r="S88" t="e">
            <v>#N/A</v>
          </cell>
        </row>
        <row r="89">
          <cell r="N89" t="e">
            <v>#N/A</v>
          </cell>
          <cell r="O89" t="str">
            <v>ARREPLEGATS</v>
          </cell>
          <cell r="P89">
            <v>3</v>
          </cell>
          <cell r="Q89">
            <v>7</v>
          </cell>
          <cell r="R89" t="e">
            <v>#N/A</v>
          </cell>
          <cell r="S89" t="e">
            <v>#N/A</v>
          </cell>
        </row>
        <row r="90">
          <cell r="N90" t="e">
            <v>#N/A</v>
          </cell>
          <cell r="O90" t="str">
            <v>STP-RACING</v>
          </cell>
          <cell r="P90">
            <v>3</v>
          </cell>
          <cell r="Q90">
            <v>8</v>
          </cell>
          <cell r="R90">
            <v>8</v>
          </cell>
          <cell r="S90" t="e">
            <v>#N/A</v>
          </cell>
        </row>
        <row r="91">
          <cell r="N91" t="e">
            <v>#N/A</v>
          </cell>
          <cell r="O91" t="str">
            <v>GASCLAVAT-JUNIORS</v>
          </cell>
          <cell r="P91">
            <v>3</v>
          </cell>
          <cell r="Q91">
            <v>9</v>
          </cell>
          <cell r="R91" t="e">
            <v>#N/A</v>
          </cell>
          <cell r="S91" t="e">
            <v>#N/A</v>
          </cell>
        </row>
        <row r="92">
          <cell r="N92">
            <v>30</v>
          </cell>
          <cell r="O92" t="str">
            <v>?</v>
          </cell>
          <cell r="P92">
            <v>3</v>
          </cell>
          <cell r="Q92">
            <v>10</v>
          </cell>
          <cell r="R92" t="str">
            <v>?</v>
          </cell>
          <cell r="S92">
            <v>0</v>
          </cell>
        </row>
        <row r="93">
          <cell r="N93" t="e">
            <v>#N/A</v>
          </cell>
          <cell r="O93" t="str">
            <v>SLOTMANIA-BIKE</v>
          </cell>
          <cell r="P93">
            <v>4</v>
          </cell>
          <cell r="Q93">
            <v>1</v>
          </cell>
          <cell r="R93">
            <v>12</v>
          </cell>
          <cell r="S93" t="e">
            <v>#N/A</v>
          </cell>
        </row>
        <row r="94">
          <cell r="N94" t="e">
            <v>#N/A</v>
          </cell>
          <cell r="O94" t="str">
            <v>GASCLAVAT</v>
          </cell>
          <cell r="P94">
            <v>4</v>
          </cell>
          <cell r="Q94">
            <v>2</v>
          </cell>
          <cell r="R94">
            <v>16</v>
          </cell>
          <cell r="S94" t="e">
            <v>#N/A</v>
          </cell>
        </row>
        <row r="95">
          <cell r="N95" t="e">
            <v>#N/A</v>
          </cell>
          <cell r="O95" t="str">
            <v>GRANOLLERS-BATUA L'OLLA</v>
          </cell>
          <cell r="P95">
            <v>4</v>
          </cell>
          <cell r="Q95">
            <v>3</v>
          </cell>
          <cell r="R95">
            <v>7</v>
          </cell>
          <cell r="S95" t="e">
            <v>#N/A</v>
          </cell>
        </row>
        <row r="96">
          <cell r="N96" t="e">
            <v>#N/A</v>
          </cell>
          <cell r="O96" t="str">
            <v>ESCUDERIA CRONO-3</v>
          </cell>
          <cell r="P96">
            <v>4</v>
          </cell>
          <cell r="Q96">
            <v>4</v>
          </cell>
          <cell r="R96" t="e">
            <v>#N/A</v>
          </cell>
          <cell r="S96" t="e">
            <v>#N/A</v>
          </cell>
        </row>
        <row r="97">
          <cell r="N97" t="e">
            <v>#N/A</v>
          </cell>
          <cell r="O97" t="str">
            <v>MORPHEUS GASCLAVAT</v>
          </cell>
          <cell r="P97">
            <v>4</v>
          </cell>
          <cell r="Q97">
            <v>5</v>
          </cell>
          <cell r="R97" t="e">
            <v>#N/A</v>
          </cell>
          <cell r="S97" t="e">
            <v>#N/A</v>
          </cell>
        </row>
        <row r="98">
          <cell r="N98" t="e">
            <v>#N/A</v>
          </cell>
          <cell r="O98" t="str">
            <v>GASCLAVAT-3</v>
          </cell>
          <cell r="P98">
            <v>4</v>
          </cell>
          <cell r="Q98">
            <v>6</v>
          </cell>
          <cell r="R98" t="e">
            <v>#N/A</v>
          </cell>
          <cell r="S98" t="e">
            <v>#N/A</v>
          </cell>
        </row>
        <row r="99">
          <cell r="N99">
            <v>40</v>
          </cell>
          <cell r="O99" t="str">
            <v>?</v>
          </cell>
          <cell r="P99">
            <v>4</v>
          </cell>
          <cell r="Q99">
            <v>7</v>
          </cell>
          <cell r="R99" t="str">
            <v>?</v>
          </cell>
          <cell r="S99">
            <v>0</v>
          </cell>
        </row>
        <row r="100">
          <cell r="N100">
            <v>40</v>
          </cell>
          <cell r="O100" t="str">
            <v>?</v>
          </cell>
          <cell r="P100">
            <v>4</v>
          </cell>
          <cell r="Q100">
            <v>8</v>
          </cell>
          <cell r="R100" t="str">
            <v>?</v>
          </cell>
          <cell r="S100">
            <v>0</v>
          </cell>
        </row>
        <row r="101">
          <cell r="N101">
            <v>40</v>
          </cell>
          <cell r="O101" t="str">
            <v>?</v>
          </cell>
          <cell r="P101">
            <v>4</v>
          </cell>
          <cell r="Q101">
            <v>9</v>
          </cell>
          <cell r="R101" t="str">
            <v>?</v>
          </cell>
          <cell r="S101">
            <v>0</v>
          </cell>
        </row>
        <row r="102">
          <cell r="N102">
            <v>40</v>
          </cell>
          <cell r="O102" t="str">
            <v>?</v>
          </cell>
          <cell r="P102">
            <v>4</v>
          </cell>
          <cell r="Q102">
            <v>10</v>
          </cell>
          <cell r="R102" t="str">
            <v>?</v>
          </cell>
          <cell r="S102">
            <v>0</v>
          </cell>
        </row>
        <row r="103">
          <cell r="N103">
            <v>50</v>
          </cell>
          <cell r="O103" t="str">
            <v>?</v>
          </cell>
          <cell r="P103">
            <v>5</v>
          </cell>
          <cell r="Q103">
            <v>1</v>
          </cell>
          <cell r="R103" t="str">
            <v>?</v>
          </cell>
          <cell r="S103">
            <v>0</v>
          </cell>
        </row>
        <row r="104">
          <cell r="N104">
            <v>50</v>
          </cell>
          <cell r="O104" t="str">
            <v>?</v>
          </cell>
          <cell r="P104">
            <v>5</v>
          </cell>
          <cell r="Q104">
            <v>2</v>
          </cell>
          <cell r="R104" t="str">
            <v>?</v>
          </cell>
          <cell r="S104">
            <v>0</v>
          </cell>
        </row>
        <row r="105">
          <cell r="N105">
            <v>50</v>
          </cell>
          <cell r="O105" t="str">
            <v>?</v>
          </cell>
          <cell r="P105">
            <v>5</v>
          </cell>
          <cell r="Q105">
            <v>3</v>
          </cell>
          <cell r="R105" t="str">
            <v>?</v>
          </cell>
          <cell r="S105">
            <v>0</v>
          </cell>
        </row>
        <row r="106">
          <cell r="N106">
            <v>50</v>
          </cell>
          <cell r="O106" t="str">
            <v>?</v>
          </cell>
          <cell r="P106">
            <v>5</v>
          </cell>
          <cell r="Q106">
            <v>4</v>
          </cell>
          <cell r="R106" t="str">
            <v>?</v>
          </cell>
          <cell r="S106">
            <v>0</v>
          </cell>
        </row>
        <row r="107">
          <cell r="N107">
            <v>50</v>
          </cell>
          <cell r="O107" t="str">
            <v>?</v>
          </cell>
          <cell r="P107">
            <v>5</v>
          </cell>
          <cell r="Q107">
            <v>5</v>
          </cell>
          <cell r="R107" t="str">
            <v>?</v>
          </cell>
          <cell r="S107">
            <v>0</v>
          </cell>
        </row>
        <row r="108">
          <cell r="N108">
            <v>50</v>
          </cell>
          <cell r="O108" t="str">
            <v>?</v>
          </cell>
          <cell r="P108">
            <v>5</v>
          </cell>
          <cell r="Q108">
            <v>6</v>
          </cell>
          <cell r="R108" t="str">
            <v>?</v>
          </cell>
          <cell r="S108">
            <v>0</v>
          </cell>
        </row>
        <row r="109">
          <cell r="N109">
            <v>50</v>
          </cell>
          <cell r="O109" t="str">
            <v>?</v>
          </cell>
          <cell r="P109">
            <v>5</v>
          </cell>
          <cell r="Q109">
            <v>7</v>
          </cell>
          <cell r="R109" t="str">
            <v>?</v>
          </cell>
          <cell r="S109">
            <v>0</v>
          </cell>
        </row>
        <row r="110">
          <cell r="N110">
            <v>50</v>
          </cell>
          <cell r="O110" t="str">
            <v>?</v>
          </cell>
          <cell r="P110">
            <v>5</v>
          </cell>
          <cell r="Q110">
            <v>8</v>
          </cell>
          <cell r="R110" t="str">
            <v>?</v>
          </cell>
          <cell r="S110">
            <v>0</v>
          </cell>
        </row>
        <row r="111">
          <cell r="N111">
            <v>50</v>
          </cell>
          <cell r="O111" t="str">
            <v>?</v>
          </cell>
          <cell r="P111">
            <v>5</v>
          </cell>
          <cell r="Q111">
            <v>9</v>
          </cell>
          <cell r="R111" t="str">
            <v>?</v>
          </cell>
          <cell r="S111">
            <v>0</v>
          </cell>
        </row>
        <row r="112">
          <cell r="N112">
            <v>50</v>
          </cell>
          <cell r="O112" t="str">
            <v>?</v>
          </cell>
          <cell r="P112">
            <v>5</v>
          </cell>
          <cell r="Q112">
            <v>10</v>
          </cell>
          <cell r="R112" t="str">
            <v>?</v>
          </cell>
          <cell r="S112">
            <v>0</v>
          </cell>
        </row>
        <row r="113">
          <cell r="N113">
            <v>60</v>
          </cell>
          <cell r="O113" t="str">
            <v>?</v>
          </cell>
          <cell r="P113">
            <v>6</v>
          </cell>
          <cell r="Q113">
            <v>1</v>
          </cell>
          <cell r="R113" t="str">
            <v>?</v>
          </cell>
          <cell r="S113">
            <v>0</v>
          </cell>
        </row>
        <row r="114">
          <cell r="N114">
            <v>60</v>
          </cell>
          <cell r="O114" t="str">
            <v>?</v>
          </cell>
          <cell r="P114">
            <v>6</v>
          </cell>
          <cell r="Q114">
            <v>2</v>
          </cell>
          <cell r="R114" t="str">
            <v>?</v>
          </cell>
          <cell r="S114">
            <v>0</v>
          </cell>
        </row>
        <row r="115">
          <cell r="N115">
            <v>60</v>
          </cell>
          <cell r="O115" t="str">
            <v>?</v>
          </cell>
          <cell r="P115">
            <v>6</v>
          </cell>
          <cell r="Q115">
            <v>3</v>
          </cell>
          <cell r="R115" t="str">
            <v>?</v>
          </cell>
          <cell r="S115">
            <v>0</v>
          </cell>
        </row>
        <row r="116">
          <cell r="N116">
            <v>60</v>
          </cell>
          <cell r="O116" t="str">
            <v>?</v>
          </cell>
          <cell r="P116">
            <v>6</v>
          </cell>
          <cell r="Q116">
            <v>4</v>
          </cell>
          <cell r="R116" t="str">
            <v>?</v>
          </cell>
          <cell r="S116">
            <v>0</v>
          </cell>
        </row>
        <row r="117">
          <cell r="N117">
            <v>60</v>
          </cell>
          <cell r="O117" t="str">
            <v>?</v>
          </cell>
          <cell r="P117">
            <v>6</v>
          </cell>
          <cell r="Q117">
            <v>5</v>
          </cell>
          <cell r="R117" t="str">
            <v>?</v>
          </cell>
          <cell r="S117">
            <v>0</v>
          </cell>
        </row>
        <row r="118">
          <cell r="N118">
            <v>60</v>
          </cell>
          <cell r="O118" t="str">
            <v>?</v>
          </cell>
          <cell r="P118">
            <v>6</v>
          </cell>
          <cell r="Q118">
            <v>6</v>
          </cell>
          <cell r="R118" t="str">
            <v>?</v>
          </cell>
          <cell r="S118">
            <v>0</v>
          </cell>
        </row>
        <row r="119">
          <cell r="N119">
            <v>60</v>
          </cell>
          <cell r="O119" t="str">
            <v>?</v>
          </cell>
          <cell r="P119">
            <v>6</v>
          </cell>
          <cell r="Q119">
            <v>7</v>
          </cell>
          <cell r="R119" t="str">
            <v>?</v>
          </cell>
          <cell r="S119">
            <v>0</v>
          </cell>
        </row>
        <row r="120">
          <cell r="N120">
            <v>60</v>
          </cell>
          <cell r="O120" t="str">
            <v>?</v>
          </cell>
          <cell r="P120">
            <v>6</v>
          </cell>
          <cell r="Q120">
            <v>8</v>
          </cell>
          <cell r="R120" t="str">
            <v>?</v>
          </cell>
          <cell r="S120">
            <v>0</v>
          </cell>
        </row>
        <row r="121">
          <cell r="N121">
            <v>60</v>
          </cell>
          <cell r="O121" t="str">
            <v>?</v>
          </cell>
          <cell r="P121">
            <v>6</v>
          </cell>
          <cell r="Q121">
            <v>9</v>
          </cell>
          <cell r="R121" t="str">
            <v>?</v>
          </cell>
          <cell r="S121">
            <v>0</v>
          </cell>
        </row>
        <row r="122">
          <cell r="N122">
            <v>60</v>
          </cell>
          <cell r="O122" t="str">
            <v>?</v>
          </cell>
          <cell r="P122">
            <v>6</v>
          </cell>
          <cell r="Q122">
            <v>10</v>
          </cell>
          <cell r="R122" t="str">
            <v>?</v>
          </cell>
          <cell r="S122">
            <v>0</v>
          </cell>
        </row>
        <row r="123">
          <cell r="N123">
            <v>70</v>
          </cell>
          <cell r="O123" t="str">
            <v>?</v>
          </cell>
          <cell r="P123">
            <v>7</v>
          </cell>
          <cell r="Q123">
            <v>1</v>
          </cell>
          <cell r="R123" t="str">
            <v>?</v>
          </cell>
          <cell r="S123">
            <v>0</v>
          </cell>
        </row>
        <row r="124">
          <cell r="N124">
            <v>70</v>
          </cell>
          <cell r="O124" t="str">
            <v>?</v>
          </cell>
          <cell r="P124">
            <v>7</v>
          </cell>
          <cell r="Q124">
            <v>2</v>
          </cell>
          <cell r="R124" t="str">
            <v>?</v>
          </cell>
          <cell r="S124">
            <v>0</v>
          </cell>
        </row>
        <row r="125">
          <cell r="N125">
            <v>70</v>
          </cell>
          <cell r="O125" t="str">
            <v>?</v>
          </cell>
          <cell r="P125">
            <v>7</v>
          </cell>
          <cell r="Q125">
            <v>3</v>
          </cell>
          <cell r="R125" t="str">
            <v>?</v>
          </cell>
          <cell r="S125">
            <v>0</v>
          </cell>
        </row>
        <row r="126">
          <cell r="N126">
            <v>70</v>
          </cell>
          <cell r="O126" t="str">
            <v>?</v>
          </cell>
          <cell r="P126">
            <v>7</v>
          </cell>
          <cell r="Q126">
            <v>4</v>
          </cell>
          <cell r="R126" t="str">
            <v>?</v>
          </cell>
          <cell r="S126">
            <v>0</v>
          </cell>
        </row>
        <row r="127">
          <cell r="N127">
            <v>70</v>
          </cell>
          <cell r="O127" t="str">
            <v>?</v>
          </cell>
          <cell r="P127">
            <v>7</v>
          </cell>
          <cell r="Q127">
            <v>5</v>
          </cell>
          <cell r="R127" t="str">
            <v>?</v>
          </cell>
          <cell r="S127">
            <v>0</v>
          </cell>
        </row>
        <row r="128">
          <cell r="N128">
            <v>70</v>
          </cell>
          <cell r="O128" t="str">
            <v>?</v>
          </cell>
          <cell r="P128">
            <v>7</v>
          </cell>
          <cell r="Q128">
            <v>6</v>
          </cell>
          <cell r="R128" t="str">
            <v>?</v>
          </cell>
          <cell r="S128">
            <v>0</v>
          </cell>
        </row>
        <row r="129">
          <cell r="N129">
            <v>70</v>
          </cell>
          <cell r="O129" t="str">
            <v>?</v>
          </cell>
          <cell r="P129">
            <v>7</v>
          </cell>
          <cell r="Q129">
            <v>7</v>
          </cell>
          <cell r="R129" t="str">
            <v>?</v>
          </cell>
          <cell r="S129">
            <v>0</v>
          </cell>
        </row>
        <row r="130">
          <cell r="N130">
            <v>70</v>
          </cell>
          <cell r="O130" t="str">
            <v>?</v>
          </cell>
          <cell r="P130">
            <v>7</v>
          </cell>
          <cell r="Q130">
            <v>8</v>
          </cell>
          <cell r="R130" t="str">
            <v>?</v>
          </cell>
          <cell r="S130">
            <v>0</v>
          </cell>
        </row>
        <row r="131">
          <cell r="N131">
            <v>70</v>
          </cell>
          <cell r="O131" t="str">
            <v>?</v>
          </cell>
          <cell r="P131">
            <v>7</v>
          </cell>
          <cell r="Q131">
            <v>9</v>
          </cell>
          <cell r="R131" t="str">
            <v>?</v>
          </cell>
          <cell r="S131">
            <v>0</v>
          </cell>
        </row>
        <row r="132">
          <cell r="N132">
            <v>70</v>
          </cell>
          <cell r="O132" t="str">
            <v>?</v>
          </cell>
          <cell r="P132">
            <v>7</v>
          </cell>
          <cell r="Q132">
            <v>10</v>
          </cell>
          <cell r="R132" t="str">
            <v>?</v>
          </cell>
          <cell r="S132">
            <v>0</v>
          </cell>
        </row>
        <row r="133">
          <cell r="N133">
            <v>80</v>
          </cell>
          <cell r="O133" t="str">
            <v>?</v>
          </cell>
          <cell r="P133">
            <v>8</v>
          </cell>
          <cell r="Q133">
            <v>1</v>
          </cell>
          <cell r="R133" t="str">
            <v>?</v>
          </cell>
          <cell r="S133">
            <v>0</v>
          </cell>
        </row>
        <row r="134">
          <cell r="N134">
            <v>80</v>
          </cell>
          <cell r="O134" t="str">
            <v>?</v>
          </cell>
          <cell r="P134">
            <v>8</v>
          </cell>
          <cell r="Q134">
            <v>2</v>
          </cell>
          <cell r="R134" t="str">
            <v>?</v>
          </cell>
          <cell r="S134">
            <v>0</v>
          </cell>
        </row>
        <row r="135">
          <cell r="N135">
            <v>80</v>
          </cell>
          <cell r="O135" t="str">
            <v>?</v>
          </cell>
          <cell r="P135">
            <v>8</v>
          </cell>
          <cell r="Q135">
            <v>3</v>
          </cell>
          <cell r="R135" t="str">
            <v>?</v>
          </cell>
          <cell r="S135">
            <v>0</v>
          </cell>
        </row>
        <row r="136">
          <cell r="N136">
            <v>80</v>
          </cell>
          <cell r="O136" t="str">
            <v>?</v>
          </cell>
          <cell r="P136">
            <v>8</v>
          </cell>
          <cell r="Q136">
            <v>4</v>
          </cell>
          <cell r="R136" t="str">
            <v>?</v>
          </cell>
          <cell r="S136">
            <v>0</v>
          </cell>
        </row>
        <row r="137">
          <cell r="N137">
            <v>80</v>
          </cell>
          <cell r="O137" t="str">
            <v>?</v>
          </cell>
          <cell r="P137">
            <v>8</v>
          </cell>
          <cell r="Q137">
            <v>5</v>
          </cell>
          <cell r="R137" t="str">
            <v>?</v>
          </cell>
          <cell r="S137">
            <v>0</v>
          </cell>
        </row>
        <row r="138">
          <cell r="N138">
            <v>80</v>
          </cell>
          <cell r="O138" t="str">
            <v>?</v>
          </cell>
          <cell r="P138">
            <v>8</v>
          </cell>
          <cell r="Q138">
            <v>6</v>
          </cell>
          <cell r="R138" t="str">
            <v>?</v>
          </cell>
          <cell r="S138">
            <v>0</v>
          </cell>
        </row>
        <row r="139">
          <cell r="N139">
            <v>80</v>
          </cell>
          <cell r="O139" t="str">
            <v>?</v>
          </cell>
          <cell r="P139">
            <v>8</v>
          </cell>
          <cell r="Q139">
            <v>7</v>
          </cell>
          <cell r="R139" t="str">
            <v>?</v>
          </cell>
          <cell r="S139">
            <v>0</v>
          </cell>
        </row>
        <row r="140">
          <cell r="N140">
            <v>80</v>
          </cell>
          <cell r="O140" t="str">
            <v>?</v>
          </cell>
          <cell r="P140">
            <v>8</v>
          </cell>
          <cell r="Q140">
            <v>8</v>
          </cell>
          <cell r="R140" t="str">
            <v>?</v>
          </cell>
          <cell r="S140">
            <v>0</v>
          </cell>
        </row>
        <row r="141">
          <cell r="N141">
            <v>80</v>
          </cell>
          <cell r="O141" t="str">
            <v>?</v>
          </cell>
          <cell r="P141">
            <v>8</v>
          </cell>
          <cell r="Q141">
            <v>9</v>
          </cell>
          <cell r="R141" t="str">
            <v>?</v>
          </cell>
          <cell r="S141">
            <v>0</v>
          </cell>
        </row>
        <row r="142">
          <cell r="N142">
            <v>80</v>
          </cell>
          <cell r="O142" t="str">
            <v>?</v>
          </cell>
          <cell r="P142">
            <v>8</v>
          </cell>
          <cell r="Q142">
            <v>10</v>
          </cell>
          <cell r="R142" t="str">
            <v>?</v>
          </cell>
          <cell r="S142">
            <v>0</v>
          </cell>
        </row>
      </sheetData>
      <sheetData sheetId="5" refreshError="1"/>
      <sheetData sheetId="6" refreshError="1"/>
      <sheetData sheetId="7" refreshError="1"/>
      <sheetData sheetId="8"/>
      <sheetData sheetId="9">
        <row r="2">
          <cell r="A2" t="str">
            <v>CARS</v>
          </cell>
          <cell r="B2" t="str">
            <v>NAME</v>
          </cell>
          <cell r="C2" t="str">
            <v>BRAND</v>
          </cell>
          <cell r="D2" t="str">
            <v>MIN WEIGHT</v>
          </cell>
          <cell r="E2" t="str">
            <v>RELATION</v>
          </cell>
          <cell r="F2" t="str">
            <v>GROUP</v>
          </cell>
          <cell r="H2" t="str">
            <v>BRANDS</v>
          </cell>
        </row>
        <row r="3">
          <cell r="H3" t="str">
            <v>SIT</v>
          </cell>
          <cell r="I3" t="str">
            <v>Slot.it</v>
          </cell>
        </row>
        <row r="4">
          <cell r="A4" t="str">
            <v>GT3ITALIA</v>
          </cell>
          <cell r="B4" t="str">
            <v>GT3 Italia Black Arrow</v>
          </cell>
          <cell r="C4" t="str">
            <v>BLACK ARROW</v>
          </cell>
          <cell r="D4">
            <v>15.5</v>
          </cell>
          <cell r="E4" t="str">
            <v>12_28</v>
          </cell>
          <cell r="F4">
            <v>1</v>
          </cell>
          <cell r="H4" t="str">
            <v>SLP</v>
          </cell>
          <cell r="I4" t="str">
            <v>Sloting Plus</v>
          </cell>
        </row>
        <row r="5">
          <cell r="A5" t="str">
            <v>BLACKBULL</v>
          </cell>
          <cell r="B5" t="str">
            <v>Black Bull Black Arrow</v>
          </cell>
          <cell r="C5" t="str">
            <v>BLACK ARROW</v>
          </cell>
          <cell r="D5">
            <v>15.5</v>
          </cell>
          <cell r="E5" t="str">
            <v>12_28</v>
          </cell>
          <cell r="F5">
            <v>1</v>
          </cell>
          <cell r="H5" t="str">
            <v>SCA</v>
          </cell>
          <cell r="I5" t="str">
            <v>Scaleauto</v>
          </cell>
        </row>
        <row r="6">
          <cell r="A6" t="str">
            <v>AMDBR9</v>
          </cell>
          <cell r="B6" t="str">
            <v>AM DBR9 Black Arrow</v>
          </cell>
          <cell r="C6" t="str">
            <v>BLACK ARROW</v>
          </cell>
          <cell r="D6">
            <v>18</v>
          </cell>
          <cell r="E6" t="str">
            <v>12_28</v>
          </cell>
          <cell r="F6">
            <v>3</v>
          </cell>
          <cell r="H6" t="str">
            <v>MB</v>
          </cell>
          <cell r="I6" t="str">
            <v>MB Slot</v>
          </cell>
        </row>
        <row r="7">
          <cell r="H7" t="str">
            <v>REP</v>
          </cell>
          <cell r="I7" t="str">
            <v>Reprotec</v>
          </cell>
        </row>
        <row r="8">
          <cell r="A8" t="str">
            <v>NO_AUDI R18 NCO</v>
          </cell>
          <cell r="B8" t="str">
            <v>Audi R18 TDI Ninco</v>
          </cell>
          <cell r="C8" t="str">
            <v>NINCO</v>
          </cell>
          <cell r="D8">
            <v>18</v>
          </cell>
          <cell r="E8" t="str">
            <v>10_24</v>
          </cell>
          <cell r="H8" t="str">
            <v>SID</v>
          </cell>
          <cell r="I8" t="str">
            <v>Sideways</v>
          </cell>
        </row>
        <row r="9">
          <cell r="A9" t="str">
            <v>NO_MERCEDES NCO</v>
          </cell>
          <cell r="B9" t="str">
            <v>Mercedes Benz SLS GT3 Ninco</v>
          </cell>
          <cell r="C9" t="str">
            <v>NINCO</v>
          </cell>
          <cell r="D9">
            <v>22</v>
          </cell>
          <cell r="E9" t="str">
            <v>12_28</v>
          </cell>
          <cell r="H9" t="str">
            <v>ARS</v>
          </cell>
          <cell r="I9" t="str">
            <v>Arrow Slot</v>
          </cell>
        </row>
        <row r="10">
          <cell r="A10" t="str">
            <v>NO_AUDI R8 NCO</v>
          </cell>
          <cell r="B10" t="str">
            <v>Audi R8 GT3 Ninco</v>
          </cell>
          <cell r="C10" t="str">
            <v>NINCO</v>
          </cell>
          <cell r="D10">
            <v>22</v>
          </cell>
          <cell r="E10" t="str">
            <v>12_28</v>
          </cell>
          <cell r="H10" t="str">
            <v>SCX</v>
          </cell>
          <cell r="I10" t="str">
            <v>Scalextric</v>
          </cell>
        </row>
        <row r="11">
          <cell r="A11" t="str">
            <v>NO_FORD GT</v>
          </cell>
          <cell r="B11" t="str">
            <v>Ford GT Ninco</v>
          </cell>
          <cell r="C11" t="str">
            <v>NINCO</v>
          </cell>
          <cell r="D11">
            <v>22</v>
          </cell>
          <cell r="E11" t="str">
            <v>12_28</v>
          </cell>
          <cell r="H11" t="str">
            <v>NIN</v>
          </cell>
          <cell r="I11" t="str">
            <v>Ninco</v>
          </cell>
        </row>
        <row r="12">
          <cell r="A12" t="str">
            <v>NO_MURCIELAGO</v>
          </cell>
          <cell r="B12" t="str">
            <v>Lamborghini Murcielago Ninco</v>
          </cell>
          <cell r="C12" t="str">
            <v>NINCO</v>
          </cell>
          <cell r="D12">
            <v>22</v>
          </cell>
          <cell r="E12" t="str">
            <v>12_28</v>
          </cell>
          <cell r="H12" t="str">
            <v>BLA</v>
          </cell>
          <cell r="I12" t="str">
            <v>Black Arrow</v>
          </cell>
        </row>
        <row r="13">
          <cell r="A13" t="str">
            <v>NO_MEGANE</v>
          </cell>
          <cell r="B13" t="str">
            <v>Renault Megane Trophy'09 Nco.</v>
          </cell>
          <cell r="C13" t="str">
            <v>NINCO</v>
          </cell>
          <cell r="D13">
            <v>20</v>
          </cell>
          <cell r="E13" t="str">
            <v>12_28</v>
          </cell>
          <cell r="H13" t="str">
            <v>PINK</v>
          </cell>
          <cell r="I13" t="str">
            <v>Pink Car</v>
          </cell>
        </row>
        <row r="14">
          <cell r="A14" t="str">
            <v>NO_LEON</v>
          </cell>
          <cell r="B14" t="str">
            <v>Seat Leon Cup Racer Ninco</v>
          </cell>
          <cell r="C14" t="str">
            <v>NINCO</v>
          </cell>
          <cell r="D14">
            <v>20</v>
          </cell>
          <cell r="E14" t="str">
            <v>12_28</v>
          </cell>
          <cell r="H14" t="str">
            <v>HOB</v>
          </cell>
          <cell r="I14" t="str">
            <v>Hobby Slot</v>
          </cell>
        </row>
        <row r="15">
          <cell r="A15" t="str">
            <v>NO_MOSLER NCO</v>
          </cell>
          <cell r="B15" t="str">
            <v>Mosler MT900R Ninco</v>
          </cell>
          <cell r="C15" t="str">
            <v>NINCO</v>
          </cell>
          <cell r="D15">
            <v>22</v>
          </cell>
          <cell r="E15" t="str">
            <v>12_28</v>
          </cell>
          <cell r="H15" t="str">
            <v>MR</v>
          </cell>
          <cell r="I15" t="str">
            <v>MR Slotcar</v>
          </cell>
        </row>
        <row r="16">
          <cell r="H16" t="str">
            <v>SUP</v>
          </cell>
          <cell r="I16" t="str">
            <v>Superslot</v>
          </cell>
        </row>
        <row r="17">
          <cell r="A17" t="str">
            <v>NISSAN</v>
          </cell>
          <cell r="B17" t="str">
            <v>Nissan 390R Reprotec</v>
          </cell>
          <cell r="C17" t="str">
            <v>REPROTEC</v>
          </cell>
          <cell r="D17">
            <v>15.5</v>
          </cell>
          <cell r="E17" t="str">
            <v>12_28</v>
          </cell>
          <cell r="F17">
            <v>1</v>
          </cell>
          <cell r="H17" t="str">
            <v>JP</v>
          </cell>
          <cell r="I17" t="str">
            <v>JP-Slot</v>
          </cell>
        </row>
        <row r="18">
          <cell r="H18" t="str">
            <v>3D</v>
          </cell>
          <cell r="I18" t="str">
            <v>3DSRP</v>
          </cell>
        </row>
        <row r="19">
          <cell r="A19" t="str">
            <v>NO_TOYOTA</v>
          </cell>
          <cell r="B19" t="str">
            <v>Toyota GT-One Scaleauto</v>
          </cell>
          <cell r="C19" t="str">
            <v>SCALEAUTO</v>
          </cell>
          <cell r="D19">
            <v>14.5</v>
          </cell>
          <cell r="E19" t="str">
            <v>10_24</v>
          </cell>
          <cell r="H19" t="str">
            <v>PKS</v>
          </cell>
          <cell r="I19" t="str">
            <v>PKS Slot</v>
          </cell>
        </row>
        <row r="20">
          <cell r="A20" t="str">
            <v>NO_RADICAL</v>
          </cell>
          <cell r="B20" t="str">
            <v>Radical SR-9 Scaleauto</v>
          </cell>
          <cell r="C20" t="str">
            <v>SCALEAUTO</v>
          </cell>
          <cell r="D20">
            <v>14.5</v>
          </cell>
          <cell r="E20" t="str">
            <v>10_24</v>
          </cell>
          <cell r="H20" t="str">
            <v>PC</v>
          </cell>
          <cell r="I20" t="str">
            <v>Polycar</v>
          </cell>
        </row>
        <row r="21">
          <cell r="A21" t="str">
            <v>MERCEDES</v>
          </cell>
          <cell r="B21" t="str">
            <v>Mercedes Benz SLS GT3 Scal.</v>
          </cell>
          <cell r="C21" t="str">
            <v>SCALEAUTO</v>
          </cell>
          <cell r="D21">
            <v>17</v>
          </cell>
          <cell r="E21" t="str">
            <v>12_28</v>
          </cell>
          <cell r="F21">
            <v>3</v>
          </cell>
          <cell r="H21" t="str">
            <v>I3D</v>
          </cell>
          <cell r="I21" t="str">
            <v>I3D</v>
          </cell>
        </row>
        <row r="22">
          <cell r="A22" t="str">
            <v>HONDA</v>
          </cell>
          <cell r="B22" t="str">
            <v>Honda HSV-010GT Scaleauto</v>
          </cell>
          <cell r="C22" t="str">
            <v>SCALEAUTO</v>
          </cell>
          <cell r="D22">
            <v>17</v>
          </cell>
          <cell r="E22" t="str">
            <v>12_28</v>
          </cell>
          <cell r="F22">
            <v>2</v>
          </cell>
          <cell r="H22" t="str">
            <v>MOR</v>
          </cell>
          <cell r="I22" t="str">
            <v>Morpheus</v>
          </cell>
        </row>
        <row r="23">
          <cell r="A23" t="str">
            <v>BMW</v>
          </cell>
          <cell r="B23" t="str">
            <v>BMW Z4 GT3 Scaleauto</v>
          </cell>
          <cell r="C23" t="str">
            <v>SCALEAUTO</v>
          </cell>
          <cell r="D23">
            <v>17</v>
          </cell>
          <cell r="E23" t="str">
            <v>12_28</v>
          </cell>
          <cell r="F23">
            <v>3</v>
          </cell>
          <cell r="H23" t="str">
            <v>ACM</v>
          </cell>
          <cell r="I23" t="str">
            <v>ACME</v>
          </cell>
        </row>
        <row r="24">
          <cell r="A24" t="str">
            <v>PAGANI</v>
          </cell>
          <cell r="B24" t="str">
            <v>Pagani Zonda Scaleauto</v>
          </cell>
          <cell r="C24" t="str">
            <v>SCALEAUTO</v>
          </cell>
          <cell r="D24">
            <v>17</v>
          </cell>
          <cell r="E24" t="str">
            <v>12_28</v>
          </cell>
          <cell r="F24">
            <v>3</v>
          </cell>
          <cell r="H24" t="str">
            <v/>
          </cell>
          <cell r="I24" t="str">
            <v/>
          </cell>
        </row>
        <row r="25">
          <cell r="A25" t="str">
            <v>SPYKER</v>
          </cell>
          <cell r="B25" t="str">
            <v>Spyker GT2 Scaleauto</v>
          </cell>
          <cell r="C25" t="str">
            <v>SCALEAUTO</v>
          </cell>
          <cell r="D25">
            <v>17</v>
          </cell>
          <cell r="E25" t="str">
            <v>12_28</v>
          </cell>
          <cell r="F25">
            <v>2</v>
          </cell>
        </row>
        <row r="26">
          <cell r="A26" t="str">
            <v>PORSCHE 991</v>
          </cell>
          <cell r="B26" t="str">
            <v>Porsche 991 GT3 Scaleauto</v>
          </cell>
          <cell r="C26" t="str">
            <v>SCALEAUTO</v>
          </cell>
          <cell r="D26">
            <v>17</v>
          </cell>
          <cell r="E26" t="str">
            <v>12_28</v>
          </cell>
          <cell r="F26">
            <v>2</v>
          </cell>
          <cell r="H26" t="str">
            <v>TYRES</v>
          </cell>
        </row>
        <row r="27">
          <cell r="A27" t="str">
            <v>VIPER</v>
          </cell>
          <cell r="B27" t="str">
            <v>Dodge Viper SRT GTS-R Scal.</v>
          </cell>
          <cell r="C27" t="str">
            <v>SCALEAUTO</v>
          </cell>
          <cell r="D27">
            <v>17</v>
          </cell>
          <cell r="E27" t="str">
            <v>12_28</v>
          </cell>
          <cell r="F27">
            <v>2</v>
          </cell>
          <cell r="H27" t="str">
            <v>SPIRITS</v>
          </cell>
          <cell r="I27" t="str">
            <v>SC-4735 "Spirits"</v>
          </cell>
        </row>
        <row r="28">
          <cell r="A28" t="str">
            <v>CORVETTE</v>
          </cell>
          <cell r="B28" t="str">
            <v>Corvette A7R Scaleauto</v>
          </cell>
          <cell r="C28" t="str">
            <v>SCALEAUTO</v>
          </cell>
          <cell r="D28">
            <v>17</v>
          </cell>
          <cell r="E28" t="str">
            <v>12_28</v>
          </cell>
          <cell r="F28">
            <v>2</v>
          </cell>
          <cell r="H28" t="str">
            <v>F22</v>
          </cell>
          <cell r="I28" t="str">
            <v>Slot.it PT1207 "F22"</v>
          </cell>
        </row>
        <row r="29">
          <cell r="A29" t="str">
            <v>SALEEN</v>
          </cell>
          <cell r="B29" t="str">
            <v>Saleen S7R Scaleauto</v>
          </cell>
          <cell r="C29" t="str">
            <v>SCALEAUTO</v>
          </cell>
          <cell r="D29">
            <v>15.5</v>
          </cell>
          <cell r="E29" t="str">
            <v>12_28</v>
          </cell>
          <cell r="F29">
            <v>1</v>
          </cell>
          <cell r="H29" t="str">
            <v>IS25</v>
          </cell>
          <cell r="I29" t="str">
            <v>SC-4753 "I-S25"</v>
          </cell>
        </row>
        <row r="30">
          <cell r="A30" t="str">
            <v>LMSGT3</v>
          </cell>
          <cell r="B30" t="str">
            <v>Audi R8 LMS GT3 Scaleauto</v>
          </cell>
          <cell r="C30" t="str">
            <v>SCALEAUTO</v>
          </cell>
          <cell r="D30">
            <v>17</v>
          </cell>
          <cell r="E30" t="str">
            <v>12_28</v>
          </cell>
          <cell r="F30">
            <v>3</v>
          </cell>
          <cell r="H30" t="str">
            <v>AS25</v>
          </cell>
          <cell r="I30" t="str">
            <v>SC-4758 "A-S25"</v>
          </cell>
        </row>
        <row r="31">
          <cell r="A31" t="str">
            <v>MBAGT3</v>
          </cell>
          <cell r="B31" t="str">
            <v>Mercedes Benz MB-A GT3 Scal.</v>
          </cell>
          <cell r="C31" t="str">
            <v>SCALEAUTO</v>
          </cell>
          <cell r="D31">
            <v>17</v>
          </cell>
          <cell r="E31" t="str">
            <v>12_28</v>
          </cell>
          <cell r="F31">
            <v>2</v>
          </cell>
        </row>
        <row r="32">
          <cell r="A32" t="str">
            <v>NO_V12</v>
          </cell>
          <cell r="B32" t="str">
            <v>BMW V12 LMR Scaleauto</v>
          </cell>
          <cell r="C32" t="str">
            <v>SCALEAUTO</v>
          </cell>
          <cell r="D32">
            <v>14</v>
          </cell>
          <cell r="E32" t="str">
            <v>12_28</v>
          </cell>
          <cell r="F32">
            <v>1</v>
          </cell>
          <cell r="H32" t="str">
            <v>MOTOR MOUNTS</v>
          </cell>
        </row>
        <row r="33">
          <cell r="H33" t="str">
            <v>SIT0</v>
          </cell>
          <cell r="I33" t="str">
            <v>Slot.it 0,0</v>
          </cell>
        </row>
        <row r="34">
          <cell r="A34" t="str">
            <v>NO_RILEY</v>
          </cell>
          <cell r="B34" t="str">
            <v>Riley MK XX Sideways</v>
          </cell>
          <cell r="C34" t="str">
            <v>SIDEWAYS</v>
          </cell>
          <cell r="D34">
            <v>16</v>
          </cell>
          <cell r="E34" t="str">
            <v>12_28</v>
          </cell>
          <cell r="F34">
            <v>3</v>
          </cell>
          <cell r="H34" t="str">
            <v>SIT05</v>
          </cell>
          <cell r="I34" t="str">
            <v>Slot.it 0,5</v>
          </cell>
        </row>
        <row r="35">
          <cell r="A35" t="str">
            <v>NO_DALLARA</v>
          </cell>
          <cell r="B35" t="str">
            <v>Dallara DP Sideways</v>
          </cell>
          <cell r="C35" t="str">
            <v>SIDEWAYS</v>
          </cell>
          <cell r="D35">
            <v>16</v>
          </cell>
          <cell r="E35" t="str">
            <v>12_28</v>
          </cell>
          <cell r="F35">
            <v>3</v>
          </cell>
          <cell r="H35" t="str">
            <v>SIT1</v>
          </cell>
          <cell r="I35" t="str">
            <v>Slot.it 1,0</v>
          </cell>
        </row>
        <row r="36">
          <cell r="A36" t="str">
            <v>HURACAN</v>
          </cell>
          <cell r="B36" t="str">
            <v>Lamborghini Huracan GT3 Sidew.</v>
          </cell>
          <cell r="C36" t="str">
            <v>SIDEWAYS</v>
          </cell>
          <cell r="D36">
            <v>17</v>
          </cell>
          <cell r="E36" t="str">
            <v>12_28</v>
          </cell>
          <cell r="F36">
            <v>3</v>
          </cell>
          <cell r="H36" t="str">
            <v>SCA1</v>
          </cell>
          <cell r="I36" t="str">
            <v>Scaleauto 1,0</v>
          </cell>
        </row>
        <row r="37">
          <cell r="H37" t="str">
            <v>BLA05</v>
          </cell>
          <cell r="I37" t="str">
            <v>Black Arrow 0,5</v>
          </cell>
        </row>
        <row r="38">
          <cell r="A38" t="str">
            <v>NO_AUDI R8</v>
          </cell>
          <cell r="B38" t="str">
            <v>Audi R8C Slot.it</v>
          </cell>
          <cell r="C38" t="str">
            <v>SLOT.IT</v>
          </cell>
          <cell r="D38">
            <v>16</v>
          </cell>
          <cell r="E38" t="str">
            <v>10_24</v>
          </cell>
        </row>
        <row r="39">
          <cell r="A39" t="str">
            <v>NO_LOLA</v>
          </cell>
          <cell r="B39" t="str">
            <v>Lola B09/60 Slot.it</v>
          </cell>
          <cell r="C39" t="str">
            <v>SLOT.IT</v>
          </cell>
          <cell r="D39">
            <v>15.5</v>
          </cell>
          <cell r="E39" t="str">
            <v>10_24</v>
          </cell>
        </row>
        <row r="40">
          <cell r="A40" t="str">
            <v>NO_AUDI R18</v>
          </cell>
          <cell r="B40" t="str">
            <v>Audi R18 TDI Slot.it</v>
          </cell>
          <cell r="C40" t="str">
            <v>SLOT.IT</v>
          </cell>
          <cell r="D40">
            <v>16</v>
          </cell>
          <cell r="E40" t="str">
            <v>10_24</v>
          </cell>
        </row>
        <row r="41">
          <cell r="A41" t="str">
            <v>PORSCHE</v>
          </cell>
          <cell r="B41" t="str">
            <v>Porsche 911 GT1 Evo98 Slot.it</v>
          </cell>
          <cell r="C41" t="str">
            <v>SLOT.IT</v>
          </cell>
          <cell r="D41">
            <v>15.5</v>
          </cell>
          <cell r="E41" t="str">
            <v>12_28</v>
          </cell>
          <cell r="F41">
            <v>1</v>
          </cell>
        </row>
        <row r="42">
          <cell r="A42" t="str">
            <v>NO_NISSAN C</v>
          </cell>
          <cell r="B42" t="str">
            <v>Nissan 390R Slot.it</v>
          </cell>
          <cell r="C42" t="str">
            <v>SLOT.IT</v>
          </cell>
          <cell r="D42">
            <v>18</v>
          </cell>
          <cell r="E42" t="str">
            <v>12_28</v>
          </cell>
          <cell r="F42">
            <v>3</v>
          </cell>
        </row>
        <row r="43">
          <cell r="A43" t="str">
            <v>NO_NISSAN L</v>
          </cell>
          <cell r="B43" t="str">
            <v>Nissan 390R LT Slot.it</v>
          </cell>
          <cell r="C43" t="str">
            <v>SLOT.IT</v>
          </cell>
          <cell r="D43">
            <v>18</v>
          </cell>
          <cell r="E43" t="str">
            <v>12_28</v>
          </cell>
          <cell r="F43">
            <v>3</v>
          </cell>
        </row>
        <row r="44">
          <cell r="A44" t="str">
            <v>NO_MCLAREN</v>
          </cell>
          <cell r="B44" t="str">
            <v>McLaren F1 GTR Slot.it</v>
          </cell>
          <cell r="C44" t="str">
            <v>SLOT.IT</v>
          </cell>
          <cell r="D44">
            <v>17</v>
          </cell>
          <cell r="E44" t="str">
            <v>12_28</v>
          </cell>
          <cell r="F44">
            <v>3</v>
          </cell>
        </row>
        <row r="46">
          <cell r="A46" t="str">
            <v>NO_REYNARD</v>
          </cell>
          <cell r="B46" t="str">
            <v>Reynard 2KQ SlotingPlus</v>
          </cell>
          <cell r="C46" t="str">
            <v>SLOTING PLUS</v>
          </cell>
          <cell r="D46">
            <v>14</v>
          </cell>
          <cell r="E46" t="str">
            <v>12_28</v>
          </cell>
          <cell r="F46">
            <v>1</v>
          </cell>
        </row>
        <row r="48">
          <cell r="A48" t="str">
            <v>NO_MCLAREN P1</v>
          </cell>
          <cell r="B48" t="str">
            <v>McLaren P1 Superslot</v>
          </cell>
          <cell r="C48" t="str">
            <v>SUPERSLOT</v>
          </cell>
          <cell r="D48">
            <v>22</v>
          </cell>
          <cell r="E48" t="str">
            <v>12_28</v>
          </cell>
        </row>
        <row r="49">
          <cell r="A49" t="str">
            <v>NO_MCLAREN MP4</v>
          </cell>
          <cell r="B49" t="str">
            <v>McLaren MP4-12C Superslot</v>
          </cell>
          <cell r="C49" t="str">
            <v>SUPERSLOT</v>
          </cell>
          <cell r="D49">
            <v>22</v>
          </cell>
          <cell r="E49" t="str">
            <v>12_28</v>
          </cell>
        </row>
        <row r="50">
          <cell r="A50" t="str">
            <v>NO_BENTLEY</v>
          </cell>
          <cell r="B50" t="str">
            <v>Bentley Continental GT3 Supsl.</v>
          </cell>
          <cell r="C50" t="str">
            <v>SUPERSLOT</v>
          </cell>
          <cell r="D50">
            <v>22</v>
          </cell>
          <cell r="E50" t="str">
            <v>12_28</v>
          </cell>
        </row>
        <row r="51">
          <cell r="A51" t="str">
            <v>NO_BMW SUP</v>
          </cell>
          <cell r="B51" t="str">
            <v>BMW Z4 GT3 Superslot</v>
          </cell>
          <cell r="C51" t="str">
            <v>SUPERSLOT</v>
          </cell>
          <cell r="D51">
            <v>22</v>
          </cell>
          <cell r="E51" t="str">
            <v>12_28</v>
          </cell>
        </row>
        <row r="52">
          <cell r="A52" t="str">
            <v>NO_AUDI R8 SUP</v>
          </cell>
          <cell r="B52" t="str">
            <v>Audi R8 GT3 Superslot</v>
          </cell>
          <cell r="C52" t="str">
            <v>SUPERSLOT</v>
          </cell>
          <cell r="D52">
            <v>22</v>
          </cell>
          <cell r="E52" t="str">
            <v>12_28</v>
          </cell>
        </row>
        <row r="53">
          <cell r="A53" t="str">
            <v>NO_ASTON MARTIN</v>
          </cell>
          <cell r="B53" t="str">
            <v>Aston Martin DBR9 Superslot</v>
          </cell>
          <cell r="C53" t="str">
            <v>SUPERSLOT</v>
          </cell>
          <cell r="D53">
            <v>22</v>
          </cell>
          <cell r="E53" t="str">
            <v>12_28</v>
          </cell>
        </row>
        <row r="55">
          <cell r="A55" t="str">
            <v>NO_MCLAREN MR</v>
          </cell>
          <cell r="B55" t="str">
            <v>Audi R8 GT3 MRSlotcar</v>
          </cell>
          <cell r="C55" t="str">
            <v>MR SLOTCAR</v>
          </cell>
          <cell r="D55">
            <v>18</v>
          </cell>
          <cell r="E55" t="str">
            <v>12_28</v>
          </cell>
        </row>
        <row r="57">
          <cell r="A57" t="str">
            <v>NO_FERRARI F40</v>
          </cell>
          <cell r="B57" t="str">
            <v>Ferrari F40 Polycar</v>
          </cell>
          <cell r="C57" t="str">
            <v>POLYCAR</v>
          </cell>
          <cell r="D57">
            <v>16</v>
          </cell>
          <cell r="E57" t="str">
            <v>12_28</v>
          </cell>
          <cell r="F57">
            <v>3</v>
          </cell>
        </row>
        <row r="59">
          <cell r="A59" t="str">
            <v>NO_ROOKIE</v>
          </cell>
          <cell r="B59" t="str">
            <v>Seat Leon Cup Racer Ninco</v>
          </cell>
          <cell r="E59" t="str">
            <v>12_28</v>
          </cell>
        </row>
        <row r="60">
          <cell r="A60" t="str">
            <v>NO_LEON</v>
          </cell>
          <cell r="B60" t="str">
            <v>Seat Leon Cup Racer Ninco</v>
          </cell>
          <cell r="D60">
            <v>22.5</v>
          </cell>
          <cell r="E60" t="str">
            <v>12_28</v>
          </cell>
        </row>
        <row r="62">
          <cell r="A62" t="str">
            <v>FORD GT</v>
          </cell>
          <cell r="B62" t="str">
            <v>Ford GT Morpheus</v>
          </cell>
          <cell r="C62" t="str">
            <v>MORPHEUS</v>
          </cell>
          <cell r="D62">
            <v>15.5</v>
          </cell>
          <cell r="E62" t="str">
            <v>12_28</v>
          </cell>
          <cell r="F62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7B42D68-0B27-4AD3-B0C5-F029A74A54DA}" name="Tabla13151617" displayName="Tabla13151617" ref="B7:E61" totalsRowShown="0" headerRowDxfId="28" tableBorderDxfId="27">
  <autoFilter ref="B7:E61" xr:uid="{23B14DF7-6AA7-444B-A625-C1DEBBAA62DE}"/>
  <sortState xmlns:xlrd2="http://schemas.microsoft.com/office/spreadsheetml/2017/richdata2" ref="B8:E35">
    <sortCondition ref="E7:E35"/>
  </sortState>
  <tableColumns count="4">
    <tableColumn id="1" xr3:uid="{3ABC2000-0832-4001-B31C-160EA2500225}" name="#" dataDxfId="26">
      <calculatedColumnFormula>+B7+1</calculatedColumnFormula>
    </tableColumn>
    <tableColumn id="3" xr3:uid="{28EA14D7-7FAC-453B-B05C-8D3EFD086E07}" name="PILOTOS" dataDxfId="25">
      <calculatedColumnFormula>IFERROR(VLOOKUP(#REF!,Tabla8[[ Equipo]:[Copa]],2,0),"")</calculatedColumnFormula>
    </tableColumn>
    <tableColumn id="4" xr3:uid="{38D2CE48-91F8-49CB-A378-6D1431C94FBE}" name="PTOS." dataDxfId="23">
      <calculatedColumnFormula>IFERROR(VLOOKUP(Tabla13151617[[#This Row],[PILOTOS]],Clasificacion_final_2019!$C$3:$I$43,7,0),0)</calculatedColumnFormula>
    </tableColumn>
    <tableColumn id="9" xr3:uid="{F89F060F-8D3D-42F0-BE19-84FBEFD27B82}" name="DIA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40ED5D-7BC4-4EB4-8E79-7AC69EB4740E}" name="Tabla1315161719" displayName="Tabla1315161719" ref="B7:E61" totalsRowShown="0" headerRowDxfId="20" tableBorderDxfId="19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B10C45C7-61A8-4AF2-9367-B60E39435EDE}" name="#" dataDxfId="18">
      <calculatedColumnFormula>+B7+1</calculatedColumnFormula>
    </tableColumn>
    <tableColumn id="3" xr3:uid="{2F006F39-AEF9-4EF6-8BF9-8312AF35CA98}" name="PILOTOS" dataDxfId="17"/>
    <tableColumn id="4" xr3:uid="{C7DBBD67-7B53-4ED0-BC6D-45ACE79F3034}" name="PTOS." dataDxfId="15">
      <calculatedColumnFormula>IFERROR(VLOOKUP(Tabla1315161719[[#This Row],[PILOTOS]],Clasificación_General!C3:H43,6,0),0)</calculatedColumnFormula>
    </tableColumn>
    <tableColumn id="9" xr3:uid="{64C7C013-C972-4562-B765-2F89E23053CD}" name="DIA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527A53-CA2E-48C8-9545-29110AF0DDF2}" name="Tabla131516171920" displayName="Tabla131516171920" ref="B7:E61" totalsRowShown="0" headerRowDxfId="13" tableBorderDxfId="12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65DB8A37-03BE-46D0-AA40-6E6D916B4DDC}" name="#" dataDxfId="11">
      <calculatedColumnFormula>+B7+1</calculatedColumnFormula>
    </tableColumn>
    <tableColumn id="3" xr3:uid="{E2408927-44D7-4E09-BE80-6132702071C9}" name="PILOTOS" dataDxfId="10"/>
    <tableColumn id="4" xr3:uid="{C5EDC5BF-97B4-46EA-AD7E-A0661795DBE8}" name="PTOS." dataDxfId="9">
      <calculatedColumnFormula>IFERROR(VLOOKUP(Tabla131516171920[[#This Row],[PILOTOS]],Clasificación_General!C3:H43,6,0),0)</calculatedColumnFormula>
    </tableColumn>
    <tableColumn id="9" xr3:uid="{643F9BD5-971A-469C-A0CD-5ABFE20AF4F6}" name="DIA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D805AD9-2EFD-48EF-9480-63BC64121EAC}" name="Tabla13151617192021" displayName="Tabla13151617192021" ref="B7:E61" totalsRowShown="0" headerRowDxfId="6" tableBorderDxfId="5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01941C36-274D-45F9-AAFC-721487D6F9B9}" name="#" dataDxfId="4">
      <calculatedColumnFormula>+B7+1</calculatedColumnFormula>
    </tableColumn>
    <tableColumn id="3" xr3:uid="{AFA57D81-99A6-489C-B711-90C985B55724}" name="PILOTOS" dataDxfId="3"/>
    <tableColumn id="4" xr3:uid="{1678A8CB-84D1-41B7-87DA-2EDC5E7186DF}" name="PTOS." dataDxfId="2">
      <calculatedColumnFormula>IFERROR(VLOOKUP(Tabla13151617192021[[#This Row],[PILOTOS]],Clasificación_General!C3:H43,6,0),0)</calculatedColumnFormula>
    </tableColumn>
    <tableColumn id="9" xr3:uid="{6A70CD9C-83CC-4716-81DD-7E5868AA5C37}" name="DIA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CA15CB-250C-43CA-A734-58672F8140EB}" name="Tabla6" displayName="Tabla6" ref="B2:D153" totalsRowShown="0" headerRowDxfId="78" dataDxfId="77">
  <autoFilter ref="B2:D153" xr:uid="{57C43782-A1D6-4D18-ABE0-7592A4B02F21}"/>
  <sortState xmlns:xlrd2="http://schemas.microsoft.com/office/spreadsheetml/2017/richdata2" ref="B3:D153">
    <sortCondition ref="B2:B153"/>
  </sortState>
  <tableColumns count="3">
    <tableColumn id="1" xr3:uid="{301B6330-0517-472A-BB3B-B8E27D377055}" name="Nombre Piloto" dataDxfId="76"/>
    <tableColumn id="2" xr3:uid="{8FF0FA0D-CDA7-478A-864E-0A14ADC3F625}" name="Palmares" dataDxfId="75"/>
    <tableColumn id="3" xr3:uid="{88065F5B-0AA7-411F-9102-DDDD4F18513D}" name="Cat. De Piloto" dataDxfId="74">
      <calculatedColumnFormula>VLOOKUP(C3,Tabla_de_Datos_GENERALES!$B$9:$C$21,2,2)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107AAD-78CD-4EAB-AC70-C65A08FC879F}" name="Tabla8" displayName="Tabla8" ref="F2:L86" totalsRowShown="0" headerRowDxfId="73" dataDxfId="72">
  <autoFilter ref="F2:L86" xr:uid="{27C40B57-C6C4-422F-8EDD-98B8695F1415}"/>
  <tableColumns count="7">
    <tableColumn id="1" xr3:uid="{33A52C96-5234-4C55-82FB-E051E64C192B}" name=" Equipo" dataDxfId="71"/>
    <tableColumn id="2" xr3:uid="{ADA3D021-959D-4C6C-9418-FC26AF1E82E7}" name="Piloto 1" dataDxfId="70"/>
    <tableColumn id="3" xr3:uid="{3B7BC911-3685-4AE0-A4B9-C29D5F86F6B6}" name="Cat. De Piloto1" dataDxfId="69">
      <calculatedColumnFormula>VLOOKUP(G3,Tabla6[],3,)</calculatedColumnFormula>
    </tableColumn>
    <tableColumn id="4" xr3:uid="{89A20046-F268-4D16-A39D-2AC2A91DD5A5}" name="Piloto 2" dataDxfId="68"/>
    <tableColumn id="5" xr3:uid="{3045EEA9-D130-430F-B2FB-EA42B6D1A0A3}" name="Cat. De Piloto2" dataDxfId="67">
      <calculatedColumnFormula>VLOOKUP(I3,Tabla6[],3,)</calculatedColumnFormula>
    </tableColumn>
    <tableColumn id="6" xr3:uid="{3C91E4D5-E5BC-4BBB-81B5-C9B94CB5EFCC}" name="Copa" dataDxfId="66"/>
    <tableColumn id="7" xr3:uid="{A4E01B42-723B-4118-A866-73BFC4D3D157}" name="Handicap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6552E3-254D-4098-AA55-24E0ED27D253}" name="Tabla12" displayName="Tabla12" ref="G2:G5" totalsRowShown="0">
  <autoFilter ref="G2:G5" xr:uid="{B117895C-799B-4A51-9784-9445E476229C}"/>
  <tableColumns count="1">
    <tableColumn id="1" xr3:uid="{2DE04E7B-6737-4F40-8183-073F0B2CA378}" name="Dia Carre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F33408-DB89-4CA2-9181-0B0D611551BE}" name="Tabla5" displayName="Tabla5" ref="B8:C32" totalsRowShown="0" headerRowDxfId="58" dataDxfId="57">
  <autoFilter ref="B8:C32" xr:uid="{8CA1D6AD-CFCA-47BB-A445-FD32CDC71DBF}"/>
  <tableColumns count="2">
    <tableColumn id="1" xr3:uid="{28F9D73B-E3E5-4CCA-B477-EB8BCD9BE2E2}" name="Cat. Pilotos" dataDxfId="56"/>
    <tableColumn id="2" xr3:uid="{3A2BCEA8-C2C5-42ED-B34A-BB2D6339B23F}" name="Tipo Cat." dataDxfId="5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303CC3-EC49-4142-8517-CA1CDDD8539C}" name="Tabla3" displayName="Tabla3" ref="D2:D6" totalsRowShown="0" headerRowDxfId="61" dataDxfId="60">
  <autoFilter ref="D2:D6" xr:uid="{34E708AA-8022-4DB3-8C90-30719D07638E}"/>
  <tableColumns count="1">
    <tableColumn id="1" xr3:uid="{902ECCEE-33D4-4164-A0FC-84698285FA49}" name="Cat. Pilotos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961EB-9D12-46D1-9CB1-6B9AC2CF2A3F}" name="Tabla2" displayName="Tabla2" ref="B2:B5" totalsRowShown="0" headerRowDxfId="64" dataDxfId="63">
  <autoFilter ref="B2:B5" xr:uid="{43B02AF4-78EA-4500-BE59-0B72A8ADB7C4}"/>
  <tableColumns count="1">
    <tableColumn id="1" xr3:uid="{B67D1A7C-8D36-46B3-9421-33C50575E24F}" name="Copas" dataDxfId="6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44C2B-F921-4F72-A66F-91DE5EA6FCC9}" name="Tabla1" displayName="Tabla1" ref="L8:L32" totalsRowShown="0" headerRowDxfId="54" dataDxfId="53">
  <autoFilter ref="L8:L32" xr:uid="{49E9A01A-D4CA-4F2F-9639-8168528813C7}"/>
  <tableColumns count="1">
    <tableColumn id="1" xr3:uid="{39441990-43A9-4ED5-A946-8E24FF49CF1B}" name="LLANTAS DIAMETRO" dataDxfId="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086329-F373-48D7-A0D5-A01C736D9F3D}" name="Tabla4" displayName="Tabla4" ref="L3:L6" totalsRowShown="0" headerRowDxfId="51" dataDxfId="50">
  <autoFilter ref="L3:L6" xr:uid="{AF56C25A-77B3-4B9F-9A68-B7C21E0C50C3}"/>
  <tableColumns count="1">
    <tableColumn id="1" xr3:uid="{29D84FA1-6558-4A27-A428-9E6E7ACDEAD6}" name="RELACION" dataDxfId="4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2B387-D6E1-490D-9E2B-777396A8350E}" name="Tabla7" displayName="Tabla7" ref="I3:J24" totalsRowShown="0" headerRowDxfId="48" dataDxfId="47">
  <autoFilter ref="I3:J24" xr:uid="{3DB0400F-2BD6-40FD-9E76-E17CE4DA475A}"/>
  <tableColumns count="2">
    <tableColumn id="1" xr3:uid="{AA4A9ACC-4ED7-4F1E-B798-0EE97C376FAA}" name="BRANDS" dataDxfId="46"/>
    <tableColumn id="2" xr3:uid="{D6C7CBE1-F441-48EF-BDC3-0547B3043171}" name="NOMBRE" dataDxfId="4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3018FD-EA6F-4B95-81EC-2B514E4316DA}" name="Tabla9" displayName="Tabla9" ref="I27:J31" totalsRowShown="0" headerRowDxfId="44" dataDxfId="43">
  <autoFilter ref="I27:J31" xr:uid="{9D818032-14FA-481B-905E-DA7683351547}"/>
  <tableColumns count="2">
    <tableColumn id="1" xr3:uid="{A467B353-B24F-4E01-9794-A61A6CC6BC3D}" name="TYRES" dataDxfId="42"/>
    <tableColumn id="2" xr3:uid="{F6828991-D1A4-46B3-BB0D-325B271BEE7E}" name="REFERENCIA" dataDxfId="4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EDA85B-7534-4171-8180-09780150B9B6}" name="Tabla10" displayName="Tabla10" ref="I33:J38" totalsRowShown="0" headerRowDxfId="40" dataDxfId="39">
  <autoFilter ref="I33:J38" xr:uid="{E6E9CACA-F635-498F-84A1-D6B7D9471203}"/>
  <tableColumns count="2">
    <tableColumn id="1" xr3:uid="{52B9516A-CC6E-42DA-B791-E98F4B1BBDB9}" name="MOTOR MOUNTS" dataDxfId="38"/>
    <tableColumn id="2" xr3:uid="{B246D651-EC73-4760-92A7-CFEB61F3B34D}" name="ESPECS" dataDxfId="3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8F1E37-4A47-4748-9E53-450C52EACD9D}" name="Tabla11" displayName="Tabla11" ref="B3:G42" totalsRowShown="0" headerRowDxfId="36" dataDxfId="35">
  <autoFilter ref="B3:G42" xr:uid="{4E29F88F-7D63-4996-AE80-5A0691D0FE24}"/>
  <tableColumns count="6">
    <tableColumn id="1" xr3:uid="{060B73B9-4B83-4A78-ABBC-4E8B0FF0A308}" name="COCHE" dataDxfId="34"/>
    <tableColumn id="2" xr3:uid="{6E5A056D-77AB-4A3E-A764-A01FB663BBFC}" name="NOMBRE COMP. COCHE" dataDxfId="33"/>
    <tableColumn id="3" xr3:uid="{45E350ED-5BCA-4D42-97AB-36132E4C2EA2}" name="BRAND" dataDxfId="32"/>
    <tableColumn id="4" xr3:uid="{C275A77F-90E7-4CB2-AE47-57660E99D61C}" name="MIN WEIGHT" dataDxfId="31"/>
    <tableColumn id="5" xr3:uid="{E68DD194-67F2-4962-B3D7-A0836CB54DAD}" name="GROUP" dataDxfId="30"/>
    <tableColumn id="6" xr3:uid="{BA5DDF0B-A365-46A8-BA8D-8D99E5A14F32}" name="COPA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B0A5-8A53-435E-8096-D173BE95B5AA}">
  <dimension ref="B1:O61"/>
  <sheetViews>
    <sheetView topLeftCell="A46" zoomScaleNormal="100" workbookViewId="0">
      <selection activeCell="J8" sqref="J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4.42578125" customWidth="1"/>
    <col min="7" max="7" width="3.28515625" bestFit="1" customWidth="1"/>
    <col min="8" max="8" width="16.42578125" bestFit="1" customWidth="1"/>
    <col min="9" max="9" width="17.7109375" bestFit="1" customWidth="1"/>
    <col min="10" max="10" width="13.7109375" bestFit="1" customWidth="1"/>
    <col min="11" max="11" width="3.85546875" customWidth="1"/>
    <col min="12" max="12" width="5.7109375" customWidth="1"/>
    <col min="13" max="13" width="17.140625" bestFit="1" customWidth="1"/>
    <col min="14" max="14" width="13.140625" bestFit="1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115"/>
      <c r="H4" s="116"/>
      <c r="I4" s="116"/>
      <c r="J4" s="116"/>
    </row>
    <row r="5" spans="2:15" ht="15.75" x14ac:dyDescent="0.25">
      <c r="B5" s="167" t="s">
        <v>566</v>
      </c>
      <c r="C5" s="167"/>
      <c r="D5" s="167"/>
      <c r="E5" s="167"/>
      <c r="G5" s="167" t="s">
        <v>495</v>
      </c>
      <c r="H5" s="167"/>
      <c r="I5" s="167"/>
      <c r="J5" s="167"/>
    </row>
    <row r="6" spans="2:15" x14ac:dyDescent="0.25">
      <c r="B6" s="117"/>
      <c r="C6" s="78"/>
      <c r="D6" s="78"/>
      <c r="G6" s="117"/>
      <c r="H6" s="78"/>
      <c r="I6" s="78"/>
      <c r="J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 t="s">
        <v>299</v>
      </c>
      <c r="D8" s="125">
        <f>IFERROR(VLOOKUP(Tabla13151617[[#This Row],[PILOTOS]],Clasificacion_final_2019!$C$3:$I$43,7,0),0)</f>
        <v>0</v>
      </c>
      <c r="E8" s="120" t="s">
        <v>491</v>
      </c>
      <c r="G8" s="123">
        <v>1</v>
      </c>
      <c r="H8" s="124" t="s">
        <v>49</v>
      </c>
      <c r="I8" s="124"/>
      <c r="J8" s="125">
        <f>IFERROR(VLOOKUP(H8,Tabla13151617[[PILOTOS]:[PTOS.]],2,0),0)</f>
        <v>188</v>
      </c>
      <c r="L8" s="123">
        <v>1</v>
      </c>
      <c r="M8" s="124" t="s">
        <v>299</v>
      </c>
      <c r="N8" s="124"/>
      <c r="O8" s="125">
        <f>IFERROR(VLOOKUP(M8,Tabla13151617[[PILOTOS]:[PTOS.]],2,0),0)</f>
        <v>0</v>
      </c>
    </row>
    <row r="9" spans="2:15" x14ac:dyDescent="0.25">
      <c r="B9" s="123">
        <f t="shared" ref="B9:B35" si="0">+B8+1</f>
        <v>2</v>
      </c>
      <c r="C9" s="124" t="s">
        <v>68</v>
      </c>
      <c r="D9" s="125">
        <f>IFERROR(VLOOKUP(Tabla13151617[[#This Row],[PILOTOS]],Clasificacion_final_2019!$C$3:$I$43,7,0),0)</f>
        <v>0</v>
      </c>
      <c r="E9" s="120" t="s">
        <v>491</v>
      </c>
      <c r="G9" s="123">
        <v>2</v>
      </c>
      <c r="H9" s="124" t="s">
        <v>62</v>
      </c>
      <c r="I9" s="124"/>
      <c r="J9" s="125">
        <f>IFERROR(VLOOKUP(H9,Tabla13151617[[PILOTOS]:[PTOS.]],2,0),0)</f>
        <v>154</v>
      </c>
      <c r="L9" s="123">
        <v>2</v>
      </c>
      <c r="M9" s="124" t="s">
        <v>68</v>
      </c>
      <c r="N9" s="124"/>
      <c r="O9" s="125">
        <f>IFERROR(VLOOKUP(M9,Tabla13151617[[PILOTOS]:[PTOS.]],2,0),0)</f>
        <v>0</v>
      </c>
    </row>
    <row r="10" spans="2:15" x14ac:dyDescent="0.25">
      <c r="B10" s="123">
        <f t="shared" si="0"/>
        <v>3</v>
      </c>
      <c r="C10" s="124" t="s">
        <v>82</v>
      </c>
      <c r="D10" s="125">
        <f>IFERROR(VLOOKUP(Tabla13151617[[#This Row],[PILOTOS]],Clasificacion_final_2019!$C$3:$I$43,7,0),0)</f>
        <v>0</v>
      </c>
      <c r="E10" s="120" t="s">
        <v>491</v>
      </c>
      <c r="G10" s="123">
        <v>3</v>
      </c>
      <c r="H10" s="124" t="s">
        <v>204</v>
      </c>
      <c r="I10" s="124"/>
      <c r="J10" s="125">
        <f>IFERROR(VLOOKUP(H10,Tabla13151617[[PILOTOS]:[PTOS.]],2,0),0)</f>
        <v>151</v>
      </c>
      <c r="L10" s="123">
        <v>3</v>
      </c>
      <c r="M10" s="124" t="s">
        <v>82</v>
      </c>
      <c r="N10" s="124"/>
      <c r="O10" s="125">
        <f>IFERROR(VLOOKUP(M10,Tabla13151617[[PILOTOS]:[PTOS.]],2,0),0)</f>
        <v>0</v>
      </c>
    </row>
    <row r="11" spans="2:15" x14ac:dyDescent="0.25">
      <c r="B11" s="123">
        <f t="shared" si="0"/>
        <v>4</v>
      </c>
      <c r="C11" s="124" t="s">
        <v>572</v>
      </c>
      <c r="D11" s="125">
        <f>IFERROR(VLOOKUP(Tabla13151617[[#This Row],[PILOTOS]],Clasificacion_final_2019!$C$3:$I$43,7,0),0)</f>
        <v>0</v>
      </c>
      <c r="E11" s="120" t="s">
        <v>491</v>
      </c>
      <c r="G11" s="123">
        <v>4</v>
      </c>
      <c r="H11" s="124" t="s">
        <v>57</v>
      </c>
      <c r="I11" s="124"/>
      <c r="J11" s="125">
        <f>IFERROR(VLOOKUP(H11,Tabla13151617[[PILOTOS]:[PTOS.]],2,0),0)</f>
        <v>147</v>
      </c>
      <c r="L11" s="123">
        <v>4</v>
      </c>
      <c r="M11" s="124" t="s">
        <v>572</v>
      </c>
      <c r="N11" s="124"/>
      <c r="O11" s="125">
        <f>IFERROR(VLOOKUP(M11,Tabla13151617[[PILOTOS]:[PTOS.]],2,0),0)</f>
        <v>0</v>
      </c>
    </row>
    <row r="12" spans="2:15" x14ac:dyDescent="0.25">
      <c r="B12" s="123">
        <f t="shared" si="0"/>
        <v>5</v>
      </c>
      <c r="C12" s="124" t="s">
        <v>322</v>
      </c>
      <c r="D12" s="125">
        <f>IFERROR(VLOOKUP(Tabla13151617[[#This Row],[PILOTOS]],Clasificacion_final_2019!$C$3:$I$43,7,0),0)</f>
        <v>0</v>
      </c>
      <c r="E12" s="120" t="s">
        <v>491</v>
      </c>
      <c r="G12" s="123">
        <v>5</v>
      </c>
      <c r="H12" s="124" t="s">
        <v>214</v>
      </c>
      <c r="I12" s="124"/>
      <c r="J12" s="125">
        <f>IFERROR(VLOOKUP(H12,Tabla13151617[[PILOTOS]:[PTOS.]],2,0),0)</f>
        <v>138</v>
      </c>
      <c r="L12" s="123">
        <v>5</v>
      </c>
      <c r="M12" s="124" t="s">
        <v>322</v>
      </c>
      <c r="N12" s="124"/>
      <c r="O12" s="125">
        <f>IFERROR(VLOOKUP(M12,Tabla13151617[[PILOTOS]:[PTOS.]],2,0),0)</f>
        <v>0</v>
      </c>
    </row>
    <row r="13" spans="2:15" x14ac:dyDescent="0.25">
      <c r="B13" s="123">
        <f t="shared" si="0"/>
        <v>6</v>
      </c>
      <c r="C13" s="124" t="s">
        <v>573</v>
      </c>
      <c r="D13" s="125">
        <f>IFERROR(VLOOKUP(Tabla13151617[[#This Row],[PILOTOS]],Clasificacion_final_2019!$C$3:$I$43,7,0),0)</f>
        <v>0</v>
      </c>
      <c r="E13" s="120" t="s">
        <v>491</v>
      </c>
      <c r="G13" s="123">
        <v>6</v>
      </c>
      <c r="H13" s="124" t="s">
        <v>304</v>
      </c>
      <c r="I13" s="124"/>
      <c r="J13" s="125">
        <f>IFERROR(VLOOKUP(H13,Tabla13151617[[PILOTOS]:[PTOS.]],2,0),0)</f>
        <v>126</v>
      </c>
      <c r="L13" s="123">
        <v>6</v>
      </c>
      <c r="M13" s="124" t="s">
        <v>573</v>
      </c>
      <c r="N13" s="124"/>
      <c r="O13" s="125">
        <f>IFERROR(VLOOKUP(M13,Tabla13151617[[PILOTOS]:[PTOS.]],2,0),0)</f>
        <v>0</v>
      </c>
    </row>
    <row r="14" spans="2:15" x14ac:dyDescent="0.25">
      <c r="B14" s="123">
        <f t="shared" si="0"/>
        <v>7</v>
      </c>
      <c r="C14" s="124" t="s">
        <v>278</v>
      </c>
      <c r="D14" s="125">
        <f>IFERROR(VLOOKUP(Tabla13151617[[#This Row],[PILOTOS]],Clasificacion_final_2019!$C$3:$I$43,7,0),0)</f>
        <v>0</v>
      </c>
      <c r="E14" s="120" t="s">
        <v>491</v>
      </c>
      <c r="G14" s="123">
        <v>7</v>
      </c>
      <c r="H14" s="124" t="s">
        <v>235</v>
      </c>
      <c r="I14" s="124"/>
      <c r="J14" s="125">
        <f>IFERROR(VLOOKUP(H14,Tabla13151617[[PILOTOS]:[PTOS.]],2,0),0)</f>
        <v>111</v>
      </c>
      <c r="L14" s="123">
        <v>7</v>
      </c>
      <c r="M14" s="124" t="s">
        <v>278</v>
      </c>
      <c r="N14" s="124"/>
      <c r="O14" s="125">
        <f>IFERROR(VLOOKUP(M14,Tabla13151617[[PILOTOS]:[PTOS.]],2,0),0)</f>
        <v>0</v>
      </c>
    </row>
    <row r="15" spans="2:15" x14ac:dyDescent="0.25">
      <c r="B15" s="123">
        <f t="shared" si="0"/>
        <v>8</v>
      </c>
      <c r="C15" s="124" t="s">
        <v>574</v>
      </c>
      <c r="D15" s="125">
        <f>IFERROR(VLOOKUP(Tabla13151617[[#This Row],[PILOTOS]],Clasificacion_final_2019!$C$3:$I$43,7,0),0)</f>
        <v>0</v>
      </c>
      <c r="E15" s="120" t="s">
        <v>491</v>
      </c>
      <c r="G15" s="123">
        <v>8</v>
      </c>
      <c r="H15" s="124" t="s">
        <v>151</v>
      </c>
      <c r="I15" s="124"/>
      <c r="J15" s="125">
        <f>IFERROR(VLOOKUP(H15,Tabla13151617[[PILOTOS]:[PTOS.]],2,0),0)</f>
        <v>102</v>
      </c>
      <c r="L15" s="123">
        <v>8</v>
      </c>
      <c r="M15" s="124" t="s">
        <v>574</v>
      </c>
      <c r="N15" s="124"/>
      <c r="O15" s="125">
        <f>IFERROR(VLOOKUP(M15,Tabla13151617[[PILOTOS]:[PTOS.]],2,0),0)</f>
        <v>0</v>
      </c>
    </row>
    <row r="16" spans="2:15" x14ac:dyDescent="0.25">
      <c r="B16" s="123">
        <f t="shared" si="0"/>
        <v>9</v>
      </c>
      <c r="C16" s="124" t="s">
        <v>49</v>
      </c>
      <c r="D16" s="125">
        <f>IFERROR(VLOOKUP(Tabla13151617[[#This Row],[PILOTOS]],Clasificacion_final_2019!$C$3:$I$43,7,0),0)</f>
        <v>188</v>
      </c>
      <c r="E16" s="120" t="s">
        <v>491</v>
      </c>
      <c r="G16" s="117"/>
      <c r="H16" s="78"/>
      <c r="I16" s="78"/>
      <c r="J16" s="78"/>
    </row>
    <row r="17" spans="2:15" x14ac:dyDescent="0.25">
      <c r="B17" s="123">
        <f t="shared" si="0"/>
        <v>10</v>
      </c>
      <c r="C17" s="124" t="s">
        <v>62</v>
      </c>
      <c r="D17" s="125">
        <f>IFERROR(VLOOKUP(Tabla13151617[[#This Row],[PILOTOS]],Clasificacion_final_2019!$C$3:$I$43,7,0),0)</f>
        <v>154</v>
      </c>
      <c r="E17" s="120" t="s">
        <v>491</v>
      </c>
      <c r="G17" s="115"/>
      <c r="H17" s="116"/>
      <c r="I17" s="116"/>
      <c r="J17" s="116"/>
    </row>
    <row r="18" spans="2:15" ht="15.75" x14ac:dyDescent="0.25">
      <c r="B18" s="123">
        <f t="shared" si="0"/>
        <v>11</v>
      </c>
      <c r="C18" s="124" t="s">
        <v>204</v>
      </c>
      <c r="D18" s="125">
        <f>IFERROR(VLOOKUP(Tabla13151617[[#This Row],[PILOTOS]],Clasificacion_final_2019!$C$3:$I$43,7,0),0)</f>
        <v>151</v>
      </c>
      <c r="E18" s="120" t="s">
        <v>491</v>
      </c>
      <c r="G18" s="167" t="s">
        <v>571</v>
      </c>
      <c r="H18" s="167"/>
      <c r="I18" s="167"/>
      <c r="J18" s="167"/>
    </row>
    <row r="19" spans="2:15" x14ac:dyDescent="0.25">
      <c r="B19" s="123">
        <f t="shared" si="0"/>
        <v>12</v>
      </c>
      <c r="C19" s="124" t="s">
        <v>57</v>
      </c>
      <c r="D19" s="125">
        <f>IFERROR(VLOOKUP(Tabla13151617[[#This Row],[PILOTOS]],Clasificacion_final_2019!$C$3:$I$43,7,0),0)</f>
        <v>147</v>
      </c>
      <c r="E19" s="120" t="s">
        <v>491</v>
      </c>
    </row>
    <row r="20" spans="2:15" ht="15.75" x14ac:dyDescent="0.25">
      <c r="B20" s="123">
        <f t="shared" si="0"/>
        <v>13</v>
      </c>
      <c r="C20" s="124" t="s">
        <v>214</v>
      </c>
      <c r="D20" s="125">
        <f>IFERROR(VLOOKUP(Tabla13151617[[#This Row],[PILOTOS]],Clasificacion_final_2019!$C$3:$I$43,7,0),0)</f>
        <v>138</v>
      </c>
      <c r="E20" s="120" t="s">
        <v>491</v>
      </c>
      <c r="G20" s="122" t="s">
        <v>432</v>
      </c>
      <c r="H20" s="126" t="s">
        <v>484</v>
      </c>
      <c r="I20" s="126" t="s">
        <v>568</v>
      </c>
      <c r="J20" s="118" t="s">
        <v>485</v>
      </c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 t="s">
        <v>304</v>
      </c>
      <c r="D21" s="125">
        <f>IFERROR(VLOOKUP(Tabla13151617[[#This Row],[PILOTOS]],Clasificacion_final_2019!$C$3:$I$43,7,0),0)</f>
        <v>126</v>
      </c>
      <c r="E21" s="120" t="s">
        <v>491</v>
      </c>
      <c r="G21" s="123">
        <v>1</v>
      </c>
      <c r="H21" s="124" t="s">
        <v>217</v>
      </c>
      <c r="I21" s="124"/>
      <c r="J21" s="125">
        <f>IFERROR(VLOOKUP(H21,Tabla13151617[[PILOTOS]:[PTOS.]],2,0),0)</f>
        <v>213</v>
      </c>
      <c r="L21" s="123">
        <v>9</v>
      </c>
      <c r="M21" s="124" t="s">
        <v>578</v>
      </c>
      <c r="N21" s="124"/>
      <c r="O21" s="125">
        <f>IFERROR(VLOOKUP(M21,Tabla13151617[[PILOTOS]:[PTOS.]],2,0),0)</f>
        <v>132</v>
      </c>
    </row>
    <row r="22" spans="2:15" x14ac:dyDescent="0.25">
      <c r="B22" s="123">
        <f t="shared" si="0"/>
        <v>15</v>
      </c>
      <c r="C22" s="124" t="s">
        <v>235</v>
      </c>
      <c r="D22" s="125">
        <f>IFERROR(VLOOKUP(Tabla13151617[[#This Row],[PILOTOS]],Clasificacion_final_2019!$C$3:$I$43,7,0),0)</f>
        <v>111</v>
      </c>
      <c r="E22" s="120" t="s">
        <v>491</v>
      </c>
      <c r="G22" s="123">
        <v>2</v>
      </c>
      <c r="H22" s="124" t="s">
        <v>53</v>
      </c>
      <c r="I22" s="124"/>
      <c r="J22" s="125">
        <f>IFERROR(VLOOKUP(H22,Tabla13151617[[PILOTOS]:[PTOS.]],2,0),0)</f>
        <v>198</v>
      </c>
      <c r="L22" s="123">
        <v>10</v>
      </c>
      <c r="M22" s="124" t="s">
        <v>287</v>
      </c>
      <c r="N22" s="124"/>
      <c r="O22" s="125">
        <f>IFERROR(VLOOKUP(M22,Tabla13151617[[PILOTOS]:[PTOS.]],2,0),0)</f>
        <v>131</v>
      </c>
    </row>
    <row r="23" spans="2:15" x14ac:dyDescent="0.25">
      <c r="B23" s="123">
        <f t="shared" si="0"/>
        <v>16</v>
      </c>
      <c r="C23" s="124" t="s">
        <v>151</v>
      </c>
      <c r="D23" s="125">
        <f>IFERROR(VLOOKUP(Tabla13151617[[#This Row],[PILOTOS]],Clasificacion_final_2019!$C$3:$I$43,7,0),0)</f>
        <v>102</v>
      </c>
      <c r="E23" s="120" t="s">
        <v>491</v>
      </c>
      <c r="G23" s="123">
        <v>3</v>
      </c>
      <c r="H23" s="124" t="s">
        <v>47</v>
      </c>
      <c r="I23" s="124"/>
      <c r="J23" s="125">
        <f>IFERROR(VLOOKUP(H23,Tabla13151617[[PILOTOS]:[PTOS.]],2,0),0)</f>
        <v>180</v>
      </c>
      <c r="L23" s="123">
        <v>11</v>
      </c>
      <c r="M23" s="124" t="s">
        <v>63</v>
      </c>
      <c r="N23" s="124"/>
      <c r="O23" s="125">
        <f>IFERROR(VLOOKUP(M23,Tabla13151617[[PILOTOS]:[PTOS.]],2,0),0)</f>
        <v>128</v>
      </c>
    </row>
    <row r="24" spans="2:15" x14ac:dyDescent="0.25">
      <c r="B24" s="123">
        <f t="shared" si="0"/>
        <v>17</v>
      </c>
      <c r="C24" s="124" t="s">
        <v>302</v>
      </c>
      <c r="D24" s="125">
        <f>IFERROR(VLOOKUP(Tabla13151617[[#This Row],[PILOTOS]],Clasificacion_final_2019!$C$3:$I$43,7,0),0)</f>
        <v>0</v>
      </c>
      <c r="E24" s="120" t="s">
        <v>492</v>
      </c>
      <c r="G24" s="123">
        <v>4</v>
      </c>
      <c r="H24" s="124" t="s">
        <v>213</v>
      </c>
      <c r="I24" s="124"/>
      <c r="J24" s="125">
        <f>IFERROR(VLOOKUP(H24,Tabla13151617[[PILOTOS]:[PTOS.]],2,0),0)</f>
        <v>167</v>
      </c>
      <c r="L24" s="123">
        <v>12</v>
      </c>
      <c r="M24" s="124" t="s">
        <v>272</v>
      </c>
      <c r="N24" s="124"/>
      <c r="O24" s="125">
        <f>IFERROR(VLOOKUP(M24,Tabla13151617[[PILOTOS]:[PTOS.]],2,0),0)</f>
        <v>126</v>
      </c>
    </row>
    <row r="25" spans="2:15" x14ac:dyDescent="0.25">
      <c r="B25" s="123">
        <f t="shared" si="0"/>
        <v>18</v>
      </c>
      <c r="C25" s="124" t="s">
        <v>71</v>
      </c>
      <c r="D25" s="125">
        <f>IFERROR(VLOOKUP(Tabla13151617[[#This Row],[PILOTOS]],Clasificacion_final_2019!$C$3:$I$43,7,0),0)</f>
        <v>0</v>
      </c>
      <c r="E25" s="120" t="s">
        <v>492</v>
      </c>
      <c r="G25" s="123">
        <v>5</v>
      </c>
      <c r="H25" s="124" t="s">
        <v>61</v>
      </c>
      <c r="I25" s="124"/>
      <c r="J25" s="125">
        <f>IFERROR(VLOOKUP(H25,Tabla13151617[[PILOTOS]:[PTOS.]],2,0),0)</f>
        <v>163</v>
      </c>
      <c r="L25" s="123">
        <v>13</v>
      </c>
      <c r="M25" s="124" t="s">
        <v>229</v>
      </c>
      <c r="N25" s="124"/>
      <c r="O25" s="125">
        <f>IFERROR(VLOOKUP(M25,Tabla13151617[[PILOTOS]:[PTOS.]],2,0),0)</f>
        <v>122</v>
      </c>
    </row>
    <row r="26" spans="2:15" x14ac:dyDescent="0.25">
      <c r="B26" s="123">
        <f t="shared" si="0"/>
        <v>19</v>
      </c>
      <c r="C26" s="124" t="s">
        <v>55</v>
      </c>
      <c r="D26" s="125">
        <f>IFERROR(VLOOKUP(Tabla13151617[[#This Row],[PILOTOS]],Clasificacion_final_2019!$C$3:$I$43,7,0),0)</f>
        <v>0</v>
      </c>
      <c r="E26" s="120" t="s">
        <v>492</v>
      </c>
      <c r="G26" s="123">
        <v>6</v>
      </c>
      <c r="H26" s="124" t="s">
        <v>77</v>
      </c>
      <c r="I26" s="124"/>
      <c r="J26" s="125">
        <f>IFERROR(VLOOKUP(H26,Tabla13151617[[PILOTOS]:[PTOS.]],2,0),0)</f>
        <v>155</v>
      </c>
      <c r="L26" s="123">
        <v>14</v>
      </c>
      <c r="M26" s="124" t="s">
        <v>212</v>
      </c>
      <c r="N26" s="124"/>
      <c r="O26" s="125">
        <f>IFERROR(VLOOKUP(M26,Tabla13151617[[PILOTOS]:[PTOS.]],2,0),0)</f>
        <v>93</v>
      </c>
    </row>
    <row r="27" spans="2:15" x14ac:dyDescent="0.25">
      <c r="B27" s="123">
        <f t="shared" si="0"/>
        <v>20</v>
      </c>
      <c r="C27" s="124" t="s">
        <v>276</v>
      </c>
      <c r="D27" s="125">
        <f>IFERROR(VLOOKUP(Tabla13151617[[#This Row],[PILOTOS]],Clasificacion_final_2019!$C$3:$I$43,7,0),0)</f>
        <v>0</v>
      </c>
      <c r="E27" s="120" t="s">
        <v>492</v>
      </c>
      <c r="G27" s="123">
        <v>7</v>
      </c>
      <c r="H27" s="124" t="s">
        <v>46</v>
      </c>
      <c r="I27" s="124"/>
      <c r="J27" s="125">
        <f>IFERROR(VLOOKUP(H27,Tabla13151617[[PILOTOS]:[PTOS.]],2,0),0)</f>
        <v>155</v>
      </c>
      <c r="L27" s="123">
        <v>15</v>
      </c>
      <c r="M27" s="124" t="s">
        <v>206</v>
      </c>
      <c r="N27" s="124"/>
      <c r="O27" s="125">
        <f>IFERROR(VLOOKUP(M27,Tabla13151617[[PILOTOS]:[PTOS.]],2,0),0)</f>
        <v>84</v>
      </c>
    </row>
    <row r="28" spans="2:15" x14ac:dyDescent="0.25">
      <c r="B28" s="123">
        <f t="shared" si="0"/>
        <v>21</v>
      </c>
      <c r="C28" s="124" t="s">
        <v>294</v>
      </c>
      <c r="D28" s="125">
        <f>IFERROR(VLOOKUP(Tabla13151617[[#This Row],[PILOTOS]],Clasificacion_final_2019!$C$3:$I$43,7,0),0)</f>
        <v>0</v>
      </c>
      <c r="E28" s="120" t="s">
        <v>492</v>
      </c>
      <c r="G28" s="123">
        <v>8</v>
      </c>
      <c r="H28" s="124" t="s">
        <v>234</v>
      </c>
      <c r="I28" s="124"/>
      <c r="J28" s="125">
        <f>IFERROR(VLOOKUP(H28,Tabla13151617[[PILOTOS]:[PTOS.]],2,0),0)</f>
        <v>147</v>
      </c>
      <c r="L28" s="123">
        <v>16</v>
      </c>
      <c r="M28" s="124" t="s">
        <v>221</v>
      </c>
      <c r="N28" s="124"/>
      <c r="O28" s="125">
        <f>IFERROR(VLOOKUP(M28,Tabla13151617[[PILOTOS]:[PTOS.]],2,0),0)</f>
        <v>43</v>
      </c>
    </row>
    <row r="29" spans="2:15" x14ac:dyDescent="0.25">
      <c r="B29" s="123">
        <f t="shared" si="0"/>
        <v>22</v>
      </c>
      <c r="C29" s="124" t="s">
        <v>166</v>
      </c>
      <c r="D29" s="125">
        <f>IFERROR(VLOOKUP(Tabla13151617[[#This Row],[PILOTOS]],Clasificacion_final_2019!$C$3:$I$43,7,0),0)</f>
        <v>0</v>
      </c>
      <c r="E29" s="120" t="s">
        <v>492</v>
      </c>
      <c r="G29" s="402"/>
      <c r="H29" s="395"/>
      <c r="I29" s="395"/>
      <c r="J29" s="400"/>
    </row>
    <row r="30" spans="2:15" ht="15.75" x14ac:dyDescent="0.25">
      <c r="B30" s="123">
        <f t="shared" si="0"/>
        <v>23</v>
      </c>
      <c r="C30" s="124" t="s">
        <v>158</v>
      </c>
      <c r="D30" s="125">
        <f>IFERROR(VLOOKUP(Tabla13151617[[#This Row],[PILOTOS]],Clasificacion_final_2019!$C$3:$I$43,7,0),0)</f>
        <v>0</v>
      </c>
      <c r="E30" s="120" t="s">
        <v>492</v>
      </c>
      <c r="G30" s="122" t="s">
        <v>432</v>
      </c>
      <c r="H30" s="403" t="s">
        <v>484</v>
      </c>
      <c r="I30" s="403" t="s">
        <v>568</v>
      </c>
      <c r="J30" s="119" t="s">
        <v>485</v>
      </c>
    </row>
    <row r="31" spans="2:15" x14ac:dyDescent="0.25">
      <c r="B31" s="123">
        <f t="shared" si="0"/>
        <v>24</v>
      </c>
      <c r="C31" s="124" t="s">
        <v>64</v>
      </c>
      <c r="D31" s="125">
        <f>IFERROR(VLOOKUP(Tabla13151617[[#This Row],[PILOTOS]],Clasificacion_final_2019!$C$3:$I$43,7,0),0)</f>
        <v>0</v>
      </c>
      <c r="E31" s="120" t="s">
        <v>492</v>
      </c>
      <c r="G31" s="123">
        <v>17</v>
      </c>
      <c r="H31" s="124" t="s">
        <v>55</v>
      </c>
      <c r="I31" s="124"/>
      <c r="J31" s="125">
        <f>IFERROR(VLOOKUP(H31,Tabla13151617[[PILOTOS]:[PTOS.]],2,0),0)</f>
        <v>0</v>
      </c>
    </row>
    <row r="32" spans="2:15" x14ac:dyDescent="0.25">
      <c r="B32" s="123">
        <f t="shared" si="0"/>
        <v>25</v>
      </c>
      <c r="C32" s="124" t="s">
        <v>575</v>
      </c>
      <c r="D32" s="125">
        <f>IFERROR(VLOOKUP(Tabla13151617[[#This Row],[PILOTOS]],Clasificacion_final_2019!$C$3:$I$43,7,0),0)</f>
        <v>0</v>
      </c>
      <c r="E32" s="120" t="s">
        <v>492</v>
      </c>
      <c r="G32" s="123">
        <v>18</v>
      </c>
      <c r="H32" s="124" t="s">
        <v>276</v>
      </c>
      <c r="I32" s="124"/>
      <c r="J32" s="125">
        <f>IFERROR(VLOOKUP(H32,Tabla13151617[[PILOTOS]:[PTOS.]],2,0),0)</f>
        <v>0</v>
      </c>
    </row>
    <row r="33" spans="2:10" x14ac:dyDescent="0.25">
      <c r="B33" s="123">
        <f t="shared" si="0"/>
        <v>26</v>
      </c>
      <c r="C33" s="124" t="s">
        <v>578</v>
      </c>
      <c r="D33" s="125">
        <f>IFERROR(VLOOKUP(Tabla13151617[[#This Row],[PILOTOS]],Clasificacion_final_2019!$C$3:$I$43,7,0),0)</f>
        <v>132</v>
      </c>
      <c r="E33" s="120" t="s">
        <v>492</v>
      </c>
      <c r="G33" s="123">
        <v>19</v>
      </c>
      <c r="H33" s="124" t="s">
        <v>294</v>
      </c>
      <c r="I33" s="124"/>
      <c r="J33" s="125">
        <f>IFERROR(VLOOKUP(H33,Tabla13151617[[PILOTOS]:[PTOS.]],2,0),0)</f>
        <v>0</v>
      </c>
    </row>
    <row r="34" spans="2:10" x14ac:dyDescent="0.25">
      <c r="B34" s="123">
        <f t="shared" si="0"/>
        <v>27</v>
      </c>
      <c r="C34" s="124" t="s">
        <v>287</v>
      </c>
      <c r="D34" s="125">
        <f>IFERROR(VLOOKUP(Tabla13151617[[#This Row],[PILOTOS]],Clasificacion_final_2019!$C$3:$I$43,7,0),0)</f>
        <v>131</v>
      </c>
      <c r="E34" s="120" t="s">
        <v>492</v>
      </c>
      <c r="G34" s="123">
        <v>20</v>
      </c>
      <c r="H34" s="124" t="s">
        <v>166</v>
      </c>
      <c r="I34" s="124"/>
      <c r="J34" s="125">
        <f>IFERROR(VLOOKUP(H34,Tabla13151617[[PILOTOS]:[PTOS.]],2,0),0)</f>
        <v>0</v>
      </c>
    </row>
    <row r="35" spans="2:10" x14ac:dyDescent="0.25">
      <c r="B35" s="123">
        <f t="shared" si="0"/>
        <v>28</v>
      </c>
      <c r="C35" s="124" t="s">
        <v>63</v>
      </c>
      <c r="D35" s="125">
        <f>IFERROR(VLOOKUP(Tabla13151617[[#This Row],[PILOTOS]],Clasificacion_final_2019!$C$3:$I$43,7,0),0)</f>
        <v>128</v>
      </c>
      <c r="E35" s="120" t="s">
        <v>492</v>
      </c>
      <c r="G35" s="123">
        <v>21</v>
      </c>
      <c r="H35" s="124" t="s">
        <v>158</v>
      </c>
      <c r="I35" s="124"/>
      <c r="J35" s="125">
        <f>IFERROR(VLOOKUP(H35,Tabla13151617[[PILOTOS]:[PTOS.]],2,0),0)</f>
        <v>0</v>
      </c>
    </row>
    <row r="36" spans="2:10" x14ac:dyDescent="0.25">
      <c r="B36" s="123">
        <f>+B35+1</f>
        <v>29</v>
      </c>
      <c r="C36" s="124" t="s">
        <v>272</v>
      </c>
      <c r="D36" s="125">
        <f>IFERROR(VLOOKUP(Tabla13151617[[#This Row],[PILOTOS]],Clasificacion_final_2019!$C$3:$I$43,7,0),0)</f>
        <v>126</v>
      </c>
      <c r="E36" s="120" t="s">
        <v>492</v>
      </c>
      <c r="G36" s="123">
        <v>22</v>
      </c>
      <c r="H36" s="124" t="s">
        <v>64</v>
      </c>
      <c r="I36" s="124"/>
      <c r="J36" s="125">
        <f>IFERROR(VLOOKUP(H36,Tabla13151617[[PILOTOS]:[PTOS.]],2,0),0)</f>
        <v>0</v>
      </c>
    </row>
    <row r="37" spans="2:10" x14ac:dyDescent="0.25">
      <c r="B37" s="123">
        <f>+B36+1</f>
        <v>30</v>
      </c>
      <c r="C37" s="124" t="s">
        <v>229</v>
      </c>
      <c r="D37" s="125">
        <f>IFERROR(VLOOKUP(Tabla13151617[[#This Row],[PILOTOS]],Clasificacion_final_2019!$C$3:$I$43,7,0),0)</f>
        <v>122</v>
      </c>
      <c r="E37" s="120" t="s">
        <v>492</v>
      </c>
      <c r="G37" s="123">
        <v>23</v>
      </c>
      <c r="H37" s="124" t="s">
        <v>575</v>
      </c>
      <c r="I37" s="124"/>
      <c r="J37" s="125">
        <f>IFERROR(VLOOKUP(H37,Tabla13151617[[PILOTOS]:[PTOS.]],2,0),0)</f>
        <v>0</v>
      </c>
    </row>
    <row r="38" spans="2:10" x14ac:dyDescent="0.25">
      <c r="B38" s="123">
        <f>+B37+1</f>
        <v>31</v>
      </c>
      <c r="C38" s="124" t="s">
        <v>212</v>
      </c>
      <c r="D38" s="125">
        <f>IFERROR(VLOOKUP(Tabla13151617[[#This Row],[PILOTOS]],Clasificacion_final_2019!$C$3:$I$43,7,0),0)</f>
        <v>93</v>
      </c>
      <c r="E38" s="120" t="s">
        <v>492</v>
      </c>
      <c r="G38" s="123">
        <v>24</v>
      </c>
      <c r="H38" s="124" t="s">
        <v>71</v>
      </c>
      <c r="I38" s="124"/>
      <c r="J38" s="125">
        <f>IFERROR(VLOOKUP(H38,Tabla13151617[[PILOTOS]:[PTOS.]],2,0),0)</f>
        <v>0</v>
      </c>
    </row>
    <row r="39" spans="2:10" x14ac:dyDescent="0.25">
      <c r="B39" s="123">
        <f>+B38+1</f>
        <v>32</v>
      </c>
      <c r="C39" s="124" t="s">
        <v>206</v>
      </c>
      <c r="D39" s="125">
        <f>IFERROR(VLOOKUP(Tabla13151617[[#This Row],[PILOTOS]],Clasificacion_final_2019!$C$3:$I$43,7,0),0)</f>
        <v>84</v>
      </c>
      <c r="E39" s="120" t="s">
        <v>492</v>
      </c>
      <c r="G39" s="123">
        <v>25</v>
      </c>
      <c r="H39" s="124" t="s">
        <v>302</v>
      </c>
      <c r="I39" s="124"/>
      <c r="J39" s="125">
        <f>IFERROR(VLOOKUP(H39,Tabla13151617[[PILOTOS]:[PTOS.]],2,0),0)</f>
        <v>0</v>
      </c>
    </row>
    <row r="40" spans="2:10" x14ac:dyDescent="0.25">
      <c r="B40" s="123">
        <f>+B39+1</f>
        <v>33</v>
      </c>
      <c r="C40" s="124" t="s">
        <v>221</v>
      </c>
      <c r="D40" s="125">
        <f>IFERROR(VLOOKUP(Tabla13151617[[#This Row],[PILOTOS]],Clasificacion_final_2019!$C$3:$I$43,7,0),0)</f>
        <v>43</v>
      </c>
      <c r="E40" s="120" t="s">
        <v>492</v>
      </c>
    </row>
    <row r="41" spans="2:10" x14ac:dyDescent="0.25">
      <c r="B41" s="123">
        <f>+B40+1</f>
        <v>34</v>
      </c>
      <c r="C41" s="124" t="s">
        <v>217</v>
      </c>
      <c r="D41" s="125">
        <f>IFERROR(VLOOKUP(Tabla13151617[[#This Row],[PILOTOS]],Clasificacion_final_2019!$C$3:$I$43,7,0),0)</f>
        <v>213</v>
      </c>
      <c r="E41" s="120" t="s">
        <v>492</v>
      </c>
    </row>
    <row r="42" spans="2:10" x14ac:dyDescent="0.25">
      <c r="B42" s="123">
        <f>+B41+1</f>
        <v>35</v>
      </c>
      <c r="C42" s="124" t="s">
        <v>53</v>
      </c>
      <c r="D42" s="125">
        <f>IFERROR(VLOOKUP(Tabla13151617[[#This Row],[PILOTOS]],Clasificacion_final_2019!$C$3:$I$43,7,0),0)</f>
        <v>198</v>
      </c>
      <c r="E42" s="120" t="s">
        <v>492</v>
      </c>
    </row>
    <row r="43" spans="2:10" x14ac:dyDescent="0.25">
      <c r="B43" s="123">
        <f>+B42+1</f>
        <v>36</v>
      </c>
      <c r="C43" s="124" t="s">
        <v>47</v>
      </c>
      <c r="D43" s="125">
        <f>IFERROR(VLOOKUP(Tabla13151617[[#This Row],[PILOTOS]],Clasificacion_final_2019!$C$3:$I$43,7,0),0)</f>
        <v>180</v>
      </c>
      <c r="E43" s="120" t="s">
        <v>492</v>
      </c>
    </row>
    <row r="44" spans="2:10" x14ac:dyDescent="0.25">
      <c r="B44" s="123">
        <f>+B43+1</f>
        <v>37</v>
      </c>
      <c r="C44" s="124" t="s">
        <v>213</v>
      </c>
      <c r="D44" s="125">
        <f>IFERROR(VLOOKUP(Tabla13151617[[#This Row],[PILOTOS]],Clasificacion_final_2019!$C$3:$I$43,7,0),0)</f>
        <v>167</v>
      </c>
      <c r="E44" s="120" t="s">
        <v>492</v>
      </c>
    </row>
    <row r="45" spans="2:10" x14ac:dyDescent="0.25">
      <c r="B45" s="123">
        <f>+B44+1</f>
        <v>38</v>
      </c>
      <c r="C45" s="124" t="s">
        <v>61</v>
      </c>
      <c r="D45" s="125">
        <f>IFERROR(VLOOKUP(Tabla13151617[[#This Row],[PILOTOS]],Clasificacion_final_2019!$C$3:$I$43,7,0),0)</f>
        <v>163</v>
      </c>
      <c r="E45" s="120" t="s">
        <v>492</v>
      </c>
    </row>
    <row r="46" spans="2:10" x14ac:dyDescent="0.25">
      <c r="B46" s="123">
        <f>+B45+1</f>
        <v>39</v>
      </c>
      <c r="C46" s="124" t="s">
        <v>77</v>
      </c>
      <c r="D46" s="125">
        <f>IFERROR(VLOOKUP(Tabla13151617[[#This Row],[PILOTOS]],Clasificacion_final_2019!$C$3:$I$43,7,0),0)</f>
        <v>155</v>
      </c>
      <c r="E46" s="120" t="s">
        <v>492</v>
      </c>
    </row>
    <row r="47" spans="2:10" x14ac:dyDescent="0.25">
      <c r="B47" s="123">
        <f>+B46+1</f>
        <v>40</v>
      </c>
      <c r="C47" s="124" t="s">
        <v>46</v>
      </c>
      <c r="D47" s="125">
        <f>IFERROR(VLOOKUP(Tabla13151617[[#This Row],[PILOTOS]],Clasificacion_final_2019!$C$3:$I$43,7,0),0)</f>
        <v>155</v>
      </c>
      <c r="E47" s="120" t="s">
        <v>492</v>
      </c>
    </row>
    <row r="48" spans="2:10" x14ac:dyDescent="0.25">
      <c r="B48" s="123">
        <f>+B47+1</f>
        <v>41</v>
      </c>
      <c r="C48" s="124" t="s">
        <v>234</v>
      </c>
      <c r="D48" s="125">
        <f>IFERROR(VLOOKUP(Tabla13151617[[#This Row],[PILOTOS]],Clasificacion_final_2019!$C$3:$I$43,7,0),0)</f>
        <v>147</v>
      </c>
      <c r="E48" s="120" t="s">
        <v>492</v>
      </c>
    </row>
    <row r="49" spans="2:5" x14ac:dyDescent="0.25">
      <c r="B49" s="123">
        <f>+B48+1</f>
        <v>42</v>
      </c>
      <c r="C49" s="124" t="str">
        <f>IFERROR(VLOOKUP(#REF!,Tabla8[[ Equipo]:[Copa]],2,0),"")</f>
        <v/>
      </c>
      <c r="D49" s="125">
        <f>IFERROR(VLOOKUP(Tabla13151617[[#This Row],[PILOTOS]],Clasificacion_final_2019!$C$3:$I$43,7,0),0)</f>
        <v>0</v>
      </c>
      <c r="E49" s="120"/>
    </row>
    <row r="50" spans="2:5" x14ac:dyDescent="0.25">
      <c r="B50" s="123">
        <f>+B49+1</f>
        <v>43</v>
      </c>
      <c r="C50" s="124" t="str">
        <f>IFERROR(VLOOKUP(#REF!,Tabla8[[ Equipo]:[Copa]],2,0),"")</f>
        <v/>
      </c>
      <c r="D50" s="125">
        <f>IFERROR(VLOOKUP(Tabla13151617[[#This Row],[PILOTOS]],Clasificacion_final_2019!$C$3:$I$43,7,0),0)</f>
        <v>0</v>
      </c>
      <c r="E50" s="120"/>
    </row>
    <row r="51" spans="2:5" x14ac:dyDescent="0.25">
      <c r="B51" s="123">
        <f>+B50+1</f>
        <v>44</v>
      </c>
      <c r="C51" s="124" t="str">
        <f>IFERROR(VLOOKUP(#REF!,Tabla8[[ Equipo]:[Copa]],2,0),"")</f>
        <v/>
      </c>
      <c r="D51" s="125">
        <f>IFERROR(VLOOKUP(Tabla13151617[[#This Row],[PILOTOS]],Clasificacion_final_2019!$C$3:$I$43,7,0),0)</f>
        <v>0</v>
      </c>
      <c r="E51" s="120"/>
    </row>
    <row r="52" spans="2:5" x14ac:dyDescent="0.25">
      <c r="B52" s="123">
        <f>+B51+1</f>
        <v>45</v>
      </c>
      <c r="C52" s="124" t="str">
        <f>IFERROR(VLOOKUP(#REF!,Tabla8[[ Equipo]:[Copa]],2,0),"")</f>
        <v/>
      </c>
      <c r="D52" s="125">
        <f>IFERROR(VLOOKUP(Tabla13151617[[#This Row],[PILOTOS]],Clasificacion_final_2019!$C$3:$I$43,7,0),0)</f>
        <v>0</v>
      </c>
      <c r="E52" s="120"/>
    </row>
    <row r="53" spans="2:5" x14ac:dyDescent="0.25">
      <c r="B53" s="123">
        <f>+B52+1</f>
        <v>46</v>
      </c>
      <c r="C53" s="124" t="str">
        <f>IFERROR(VLOOKUP(#REF!,Tabla8[[ Equipo]:[Copa]],2,0),"")</f>
        <v/>
      </c>
      <c r="D53" s="125">
        <f>IFERROR(VLOOKUP(Tabla13151617[[#This Row],[PILOTOS]],Clasificacion_final_2019!$C$3:$I$43,7,0),0)</f>
        <v>0</v>
      </c>
      <c r="E53" s="120"/>
    </row>
    <row r="54" spans="2:5" x14ac:dyDescent="0.25">
      <c r="B54" s="123">
        <f>+B53+1</f>
        <v>47</v>
      </c>
      <c r="C54" s="124" t="str">
        <f>IFERROR(VLOOKUP(#REF!,Tabla8[[ Equipo]:[Copa]],2,0),"")</f>
        <v/>
      </c>
      <c r="D54" s="125">
        <f>IFERROR(VLOOKUP(Tabla13151617[[#This Row],[PILOTOS]],Clasificacion_final_2019!$C$3:$I$43,7,0),0)</f>
        <v>0</v>
      </c>
      <c r="E54" s="120"/>
    </row>
    <row r="55" spans="2:5" x14ac:dyDescent="0.25">
      <c r="B55" s="123">
        <f>+B54+1</f>
        <v>48</v>
      </c>
      <c r="C55" s="124" t="str">
        <f>IFERROR(VLOOKUP(#REF!,Tabla8[[ Equipo]:[Copa]],2,0),"")</f>
        <v/>
      </c>
      <c r="D55" s="125">
        <f>IFERROR(VLOOKUP(Tabla13151617[[#This Row],[PILOTOS]],Clasificacion_final_2019!$C$3:$I$43,7,0),0)</f>
        <v>0</v>
      </c>
      <c r="E55" s="120"/>
    </row>
    <row r="56" spans="2:5" x14ac:dyDescent="0.25">
      <c r="B56" s="123">
        <f>+B55+1</f>
        <v>49</v>
      </c>
      <c r="C56" s="124" t="str">
        <f>IFERROR(VLOOKUP(#REF!,Tabla8[[ Equipo]:[Copa]],2,0),"")</f>
        <v/>
      </c>
      <c r="D56" s="125">
        <f>IFERROR(VLOOKUP(Tabla13151617[[#This Row],[PILOTOS]],Clasificacion_final_2019!$C$3:$I$43,7,0),0)</f>
        <v>0</v>
      </c>
      <c r="E56" s="120"/>
    </row>
    <row r="57" spans="2:5" x14ac:dyDescent="0.25">
      <c r="B57" s="123">
        <f>+B56+1</f>
        <v>50</v>
      </c>
      <c r="C57" s="124" t="str">
        <f>IFERROR(VLOOKUP(#REF!,Tabla8[[ Equipo]:[Copa]],2,0),"")</f>
        <v/>
      </c>
      <c r="D57" s="125">
        <f>IFERROR(VLOOKUP(Tabla13151617[[#This Row],[PILOTOS]],Clasificacion_final_2019!$C$3:$I$43,7,0),0)</f>
        <v>0</v>
      </c>
      <c r="E57" s="120"/>
    </row>
    <row r="58" spans="2:5" x14ac:dyDescent="0.25">
      <c r="B58" s="123">
        <f>+B57+1</f>
        <v>51</v>
      </c>
      <c r="C58" s="124" t="str">
        <f>IFERROR(VLOOKUP(#REF!,Tabla8[[ Equipo]:[Copa]],2,0),"")</f>
        <v/>
      </c>
      <c r="D58" s="125">
        <f>IFERROR(VLOOKUP(Tabla13151617[[#This Row],[PILOTOS]],Clasificacion_final_2019!$C$3:$I$43,7,0),0)</f>
        <v>0</v>
      </c>
      <c r="E58" s="120"/>
    </row>
    <row r="59" spans="2:5" x14ac:dyDescent="0.25">
      <c r="B59" s="123">
        <f>+B58+1</f>
        <v>52</v>
      </c>
      <c r="C59" s="124" t="str">
        <f>IFERROR(VLOOKUP(#REF!,Tabla8[[ Equipo]:[Copa]],2,0),"")</f>
        <v/>
      </c>
      <c r="D59" s="125">
        <f>IFERROR(VLOOKUP(Tabla13151617[[#This Row],[PILOTOS]],Clasificacion_final_2019!$C$3:$I$43,7,0),0)</f>
        <v>0</v>
      </c>
      <c r="E59" s="120"/>
    </row>
    <row r="60" spans="2:5" x14ac:dyDescent="0.25">
      <c r="B60" s="123">
        <f>+B59+1</f>
        <v>53</v>
      </c>
      <c r="C60" s="124" t="str">
        <f>IFERROR(VLOOKUP(#REF!,Tabla8[[ Equipo]:[Copa]],2,0),"")</f>
        <v/>
      </c>
      <c r="D60" s="125">
        <f>IFERROR(VLOOKUP(Tabla13151617[[#This Row],[PILOTOS]],Clasificacion_final_2019!$C$3:$I$43,7,0),0)</f>
        <v>0</v>
      </c>
      <c r="E60" s="120"/>
    </row>
    <row r="61" spans="2:5" x14ac:dyDescent="0.25">
      <c r="B61" s="123">
        <f>+B60+1</f>
        <v>54</v>
      </c>
      <c r="C61" s="124" t="str">
        <f>IFERROR(VLOOKUP(#REF!,Tabla8[[ Equipo]:[Copa]],2,0),"")</f>
        <v/>
      </c>
      <c r="D61" s="125">
        <f>IFERROR(VLOOKUP(Tabla13151617[[#This Row],[PILOTOS]],Clasificacion_final_2019!$C$3:$I$43,7,0),0)</f>
        <v>0</v>
      </c>
      <c r="E61" s="120"/>
    </row>
  </sheetData>
  <autoFilter ref="H20:J38" xr:uid="{B65F4249-70B2-4759-A3CF-24E617B42CB8}">
    <sortState xmlns:xlrd2="http://schemas.microsoft.com/office/spreadsheetml/2017/richdata2" ref="H21:J38">
      <sortCondition descending="1" ref="J20:J38"/>
    </sortState>
  </autoFilter>
  <mergeCells count="3">
    <mergeCell ref="G5:J5"/>
    <mergeCell ref="B5:E5"/>
    <mergeCell ref="G18:J18"/>
  </mergeCells>
  <pageMargins left="0.7" right="0.7" top="0.75" bottom="0.75" header="0.3" footer="0.3"/>
  <pageSetup paperSize="9" orientation="portrait" horizontalDpi="360" verticalDpi="36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216C0A6-D066-4745-8BD8-D36E457DDC1D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A6C1356B-1DFD-41D5-A9B1-02E6BEFB60F5}">
          <x14:formula1>
            <xm:f>'Listado Pilotos'!$B$3:$B$150</xm:f>
          </x14:formula1>
          <xm:sqref>C8:C14 C16:C61 H8:H14 M8:M15 H31:H39 H21:H29 M21:M28</xm:sqref>
        </x14:dataValidation>
        <x14:dataValidation type="list" allowBlank="1" showInputMessage="1" showErrorMessage="1" xr:uid="{4EFF0A17-ADD6-4C93-A825-4A567DD09D8E}">
          <x14:formula1>
            <xm:f>'Listado Pilotos'!$B$3:$B$153</xm:f>
          </x14:formula1>
          <xm:sqref>C15 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ED0E-17F9-4C97-9631-04FCBB1E3F3A}">
  <dimension ref="B1:T64"/>
  <sheetViews>
    <sheetView tabSelected="1" zoomScale="115" zoomScaleNormal="115" workbookViewId="0">
      <selection activeCell="F3" sqref="F3"/>
    </sheetView>
  </sheetViews>
  <sheetFormatPr baseColWidth="10" defaultColWidth="8" defaultRowHeight="8.25" x14ac:dyDescent="0.15"/>
  <cols>
    <col min="1" max="1" width="2.140625" style="79" customWidth="1"/>
    <col min="2" max="2" width="8.140625" style="79" customWidth="1"/>
    <col min="3" max="3" width="6.140625" style="79" bestFit="1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3.5703125" style="79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 t="s">
        <v>411</v>
      </c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 t="s">
        <v>411</v>
      </c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 t="s">
        <v>411</v>
      </c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 t="s">
        <v>411</v>
      </c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 t="s">
        <v>411</v>
      </c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 t="s">
        <v>411</v>
      </c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 t="s">
        <v>411</v>
      </c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 t="s">
        <v>411</v>
      </c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 t="s">
        <v>411</v>
      </c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 t="s">
        <v>411</v>
      </c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 t="s">
        <v>411</v>
      </c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 t="s">
        <v>411</v>
      </c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 t="s">
        <v>411</v>
      </c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 t="s">
        <v>411</v>
      </c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 t="s">
        <v>411</v>
      </c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 t="s">
        <v>411</v>
      </c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 t="s">
        <v>411</v>
      </c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 t="s">
        <v>411</v>
      </c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 t="s">
        <v>411</v>
      </c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 t="s">
        <v>411</v>
      </c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 t="s">
        <v>411</v>
      </c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 t="s">
        <v>411</v>
      </c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 t="s">
        <v>411</v>
      </c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 t="s">
        <v>411</v>
      </c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 t="s">
        <v>411</v>
      </c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 t="s">
        <v>411</v>
      </c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 t="s">
        <v>411</v>
      </c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 t="s">
        <v>411</v>
      </c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s="80" customFormat="1" x14ac:dyDescent="0.15">
      <c r="B39" s="93">
        <v>29</v>
      </c>
      <c r="C39" s="93"/>
      <c r="D39" s="93" t="s">
        <v>411</v>
      </c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s="80" customFormat="1" x14ac:dyDescent="0.15">
      <c r="B40" s="93">
        <v>30</v>
      </c>
      <c r="C40" s="93"/>
      <c r="D40" s="93" t="s">
        <v>411</v>
      </c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s="80" customFormat="1" x14ac:dyDescent="0.15">
      <c r="B41" s="93">
        <v>31</v>
      </c>
      <c r="C41" s="93"/>
      <c r="D41" s="93" t="s">
        <v>411</v>
      </c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s="80" customFormat="1" x14ac:dyDescent="0.15">
      <c r="B42" s="93">
        <v>32</v>
      </c>
      <c r="C42" s="93"/>
      <c r="D42" s="93" t="s">
        <v>411</v>
      </c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s="80" customFormat="1" x14ac:dyDescent="0.15">
      <c r="B43" s="93">
        <v>33</v>
      </c>
      <c r="C43" s="93"/>
      <c r="D43" s="93" t="s">
        <v>411</v>
      </c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s="80" customFormat="1" x14ac:dyDescent="0.15">
      <c r="B44" s="93">
        <v>34</v>
      </c>
      <c r="C44" s="93"/>
      <c r="D44" s="93" t="s">
        <v>411</v>
      </c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s="80" customFormat="1" x14ac:dyDescent="0.15">
      <c r="B45" s="93">
        <v>35</v>
      </c>
      <c r="C45" s="93"/>
      <c r="D45" s="93" t="s">
        <v>411</v>
      </c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s="80" customFormat="1" x14ac:dyDescent="0.15">
      <c r="B46" s="93">
        <v>36</v>
      </c>
      <c r="C46" s="93"/>
      <c r="D46" s="93" t="s">
        <v>411</v>
      </c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s="80" customFormat="1" x14ac:dyDescent="0.15">
      <c r="B47" s="93">
        <v>37</v>
      </c>
      <c r="C47" s="93"/>
      <c r="D47" s="93" t="s">
        <v>411</v>
      </c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s="80" customFormat="1" x14ac:dyDescent="0.15">
      <c r="B48" s="93">
        <v>38</v>
      </c>
      <c r="C48" s="93"/>
      <c r="D48" s="93" t="s">
        <v>411</v>
      </c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s="80" customFormat="1" x14ac:dyDescent="0.15">
      <c r="B49" s="93">
        <v>39</v>
      </c>
      <c r="C49" s="93"/>
      <c r="D49" s="93" t="s">
        <v>411</v>
      </c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s="80" customFormat="1" x14ac:dyDescent="0.15">
      <c r="B50" s="93">
        <v>40</v>
      </c>
      <c r="C50" s="93"/>
      <c r="D50" s="93" t="s">
        <v>411</v>
      </c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s="80" customFormat="1" x14ac:dyDescent="0.15">
      <c r="B51" s="93">
        <v>41</v>
      </c>
      <c r="C51" s="93"/>
      <c r="D51" s="93" t="s">
        <v>411</v>
      </c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s="80" customFormat="1" x14ac:dyDescent="0.15">
      <c r="B52" s="93">
        <v>42</v>
      </c>
      <c r="C52" s="93"/>
      <c r="D52" s="93" t="s">
        <v>411</v>
      </c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s="80" customFormat="1" x14ac:dyDescent="0.15">
      <c r="B53" s="93">
        <v>43</v>
      </c>
      <c r="C53" s="93"/>
      <c r="D53" s="93" t="s">
        <v>411</v>
      </c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s="80" customFormat="1" x14ac:dyDescent="0.15">
      <c r="B54" s="93">
        <v>44</v>
      </c>
      <c r="C54" s="93"/>
      <c r="D54" s="93" t="s">
        <v>411</v>
      </c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5" spans="2:20" x14ac:dyDescent="0.15">
      <c r="C55" s="96"/>
    </row>
    <row r="56" spans="2:20" x14ac:dyDescent="0.15">
      <c r="B56" s="97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98"/>
      <c r="N56" s="98"/>
      <c r="O56" s="98"/>
      <c r="P56" s="98"/>
      <c r="Q56" s="98"/>
      <c r="R56" s="98"/>
      <c r="S56" s="98"/>
      <c r="T56" s="98"/>
    </row>
    <row r="57" spans="2:20" x14ac:dyDescent="0.15">
      <c r="C57" s="96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4"/>
      <c r="O61" s="83"/>
      <c r="P61" s="83"/>
      <c r="Q61" s="83"/>
      <c r="R61" s="83"/>
      <c r="S61" s="83"/>
      <c r="T61" s="83"/>
    </row>
    <row r="62" spans="2:20" x14ac:dyDescent="0.15">
      <c r="B62" s="85" t="s">
        <v>446</v>
      </c>
      <c r="C62" s="86"/>
      <c r="D62" s="87"/>
      <c r="H62" s="79"/>
    </row>
    <row r="64" spans="2:20" x14ac:dyDescent="0.15">
      <c r="B64" s="97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98"/>
      <c r="N64" s="98"/>
      <c r="O64" s="98"/>
      <c r="P64" s="98"/>
      <c r="Q64" s="98"/>
      <c r="R64" s="98"/>
      <c r="S64" s="98"/>
      <c r="T64" s="98"/>
    </row>
  </sheetData>
  <mergeCells count="1">
    <mergeCell ref="B4:T4"/>
  </mergeCells>
  <phoneticPr fontId="4" type="noConversion"/>
  <conditionalFormatting sqref="F11:F54">
    <cfRule type="cellIs" dxfId="22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8E46DC0-73F7-4C31-89A0-0D94CF8B68B9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A0DA736F-2AD1-4819-96D6-065B4C3B2EA3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603E24CC-8A10-4261-A663-875B99B3006D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E8201731-3F4E-41B3-8DE0-ACB1451E0707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7B65D1C7-7775-43AC-B564-13B8D8188A3B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2EFCC9CF-4494-48DA-B236-74EC79A3D615}">
          <x14:formula1>
            <xm:f>Inscritos_Mangas_ELSOT!$C$8:$C$48</xm:f>
          </x14:formula1>
          <xm:sqref>C11:C54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4180-161A-4A5A-90F9-06ED897CE992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401"/>
      <c r="H4" s="401"/>
      <c r="I4" s="401"/>
      <c r="J4" s="401"/>
      <c r="K4" s="401"/>
      <c r="L4" s="401"/>
      <c r="M4" s="401"/>
      <c r="N4" s="401"/>
      <c r="O4" s="401"/>
    </row>
    <row r="5" spans="2:15" ht="15.75" x14ac:dyDescent="0.25">
      <c r="B5" s="167" t="s">
        <v>566</v>
      </c>
      <c r="C5" s="167"/>
      <c r="D5" s="167"/>
      <c r="E5" s="167"/>
      <c r="G5" s="167" t="s">
        <v>495</v>
      </c>
      <c r="H5" s="167"/>
      <c r="I5" s="167"/>
      <c r="J5" s="167"/>
      <c r="K5" s="167"/>
      <c r="L5" s="167"/>
      <c r="M5" s="167"/>
      <c r="N5" s="167"/>
      <c r="O5" s="167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IFERROR(VLOOKUP(H8,Tabla1315161719[[PILOTOS]:[PTOS.]],2,0),0)</f>
        <v>0</v>
      </c>
      <c r="K8" s="127"/>
      <c r="L8" s="123">
        <v>1</v>
      </c>
      <c r="M8" s="124"/>
      <c r="N8" s="124"/>
      <c r="O8" s="125">
        <f>IFERROR(VLOOKUP(M8,Tabla1315161719[[PILOTOS]:[PTOS.]],2,0),0)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IFERROR(VLOOKUP(H9,Tabla1315161719[[PILOTOS]:[PTOS.]],2,0),0)</f>
        <v>0</v>
      </c>
      <c r="K9" s="127"/>
      <c r="L9" s="123">
        <v>2</v>
      </c>
      <c r="M9" s="124"/>
      <c r="N9" s="124"/>
      <c r="O9" s="125">
        <f>IFERROR(VLOOKUP(M9,Tabla1315161719[[PILOTOS]:[PTOS.]],2,0),0)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IFERROR(VLOOKUP(H10,Tabla1315161719[[PILOTOS]:[PTOS.]],2,0),0)</f>
        <v>0</v>
      </c>
      <c r="K10" s="127"/>
      <c r="L10" s="123">
        <v>3</v>
      </c>
      <c r="M10" s="124"/>
      <c r="N10" s="124"/>
      <c r="O10" s="125">
        <f>IFERROR(VLOOKUP(M10,Tabla1315161719[[PILOTOS]:[PTOS.]],2,0),0)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IFERROR(VLOOKUP(H11,Tabla1315161719[[PILOTOS]:[PTOS.]],2,0),0)</f>
        <v>0</v>
      </c>
      <c r="K11" s="127"/>
      <c r="L11" s="123">
        <v>4</v>
      </c>
      <c r="M11" s="124"/>
      <c r="N11" s="124"/>
      <c r="O11" s="125">
        <f>IFERROR(VLOOKUP(M11,Tabla1315161719[[PILOTOS]:[PTOS.]],2,0),0)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IFERROR(VLOOKUP(H12,Tabla1315161719[[PILOTOS]:[PTOS.]],2,0),0)</f>
        <v>0</v>
      </c>
      <c r="K12" s="127"/>
      <c r="L12" s="123">
        <v>5</v>
      </c>
      <c r="M12" s="124"/>
      <c r="N12" s="124"/>
      <c r="O12" s="125">
        <f>IFERROR(VLOOKUP(M12,Tabla1315161719[[PILOTOS]:[PTOS.]],2,0),0)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IFERROR(VLOOKUP(H13,Tabla1315161719[[PILOTOS]:[PTOS.]],2,0),0)</f>
        <v>0</v>
      </c>
      <c r="K13" s="127"/>
      <c r="L13" s="123">
        <v>6</v>
      </c>
      <c r="M13" s="124"/>
      <c r="N13" s="124"/>
      <c r="O13" s="125">
        <f>IFERROR(VLOOKUP(M13,Tabla1315161719[[PILOTOS]:[PTOS.]],2,0),0)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IFERROR(VLOOKUP(H14,Tabla1315161719[[PILOTOS]:[PTOS.]],2,0),0)</f>
        <v>0</v>
      </c>
      <c r="K14" s="128"/>
      <c r="L14" s="123">
        <v>7</v>
      </c>
      <c r="M14" s="124"/>
      <c r="N14" s="124"/>
      <c r="O14" s="125">
        <f>IFERROR(VLOOKUP(M14,Tabla1315161719[[PILOTOS]:[PTOS.]],2,0),0)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IFERROR(VLOOKUP(H15,Tabla1315161719[[PILOTOS]:[PTOS.]],2,0),0)</f>
        <v>0</v>
      </c>
      <c r="K15" s="78"/>
      <c r="L15" s="123">
        <v>8</v>
      </c>
      <c r="M15" s="124"/>
      <c r="N15" s="124"/>
      <c r="O15" s="125">
        <f>IFERROR(VLOOKUP(M15,Tabla1315161719[[PILOTOS]:[PTOS.]],2,0),0)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IFERROR(VLOOKUP(Tabla1315161719[[#This Row],[PILOTOS]],Clasificación_General!C11:H51,6,0),0)</f>
        <v>0</v>
      </c>
      <c r="E16" s="120"/>
      <c r="G16" s="399"/>
      <c r="H16" s="395"/>
      <c r="I16" s="395"/>
      <c r="J16" s="400"/>
      <c r="K16" s="78"/>
    </row>
    <row r="17" spans="2:15" x14ac:dyDescent="0.25">
      <c r="B17" s="123">
        <f t="shared" si="0"/>
        <v>10</v>
      </c>
      <c r="C17" s="124"/>
      <c r="D17" s="125">
        <f>IFERROR(VLOOKUP(Tabla1315161719[[#This Row],[PILOTOS]],Clasificación_General!C12:H52,6,0),0)</f>
        <v>0</v>
      </c>
      <c r="E17" s="120"/>
      <c r="G17" s="401"/>
      <c r="H17" s="401"/>
      <c r="I17" s="401"/>
      <c r="J17" s="401"/>
      <c r="K17" s="401"/>
      <c r="L17" s="401"/>
      <c r="M17" s="401"/>
      <c r="N17" s="401"/>
      <c r="O17" s="401"/>
    </row>
    <row r="18" spans="2:15" ht="15.75" x14ac:dyDescent="0.25">
      <c r="B18" s="123">
        <f t="shared" si="0"/>
        <v>11</v>
      </c>
      <c r="C18" s="124"/>
      <c r="D18" s="125">
        <f>IFERROR(VLOOKUP(Tabla1315161719[[#This Row],[PILOTOS]],Clasificación_General!C13:H53,6,0),0)</f>
        <v>0</v>
      </c>
      <c r="E18" s="120"/>
      <c r="G18" s="167" t="s">
        <v>571</v>
      </c>
      <c r="H18" s="167"/>
      <c r="I18" s="167"/>
      <c r="J18" s="167"/>
      <c r="K18" s="167"/>
      <c r="L18" s="167"/>
      <c r="M18" s="167"/>
      <c r="N18" s="167"/>
      <c r="O18" s="167"/>
    </row>
    <row r="19" spans="2:15" x14ac:dyDescent="0.25">
      <c r="B19" s="123">
        <f t="shared" si="0"/>
        <v>12</v>
      </c>
      <c r="C19" s="124"/>
      <c r="D19" s="125">
        <f>IFERROR(VLOOKUP(Tabla1315161719[[#This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IFERROR(VLOOKUP(H21,Tabla1315161719[[PILOTOS]:[PTOS.]],2,0),0)</f>
        <v>0</v>
      </c>
      <c r="K21" s="127"/>
      <c r="L21" s="123">
        <v>1</v>
      </c>
      <c r="M21" s="124"/>
      <c r="N21" s="124"/>
      <c r="O21" s="125">
        <f>IFERROR(VLOOKUP(M21,Tabla1315161719[[PILOTOS]:[PTOS.]],2,0),0)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IFERROR(VLOOKUP(H22,Tabla1315161719[[PILOTOS]:[PTOS.]],2,0),0)</f>
        <v>0</v>
      </c>
      <c r="K22" s="127"/>
      <c r="L22" s="123">
        <v>2</v>
      </c>
      <c r="M22" s="124"/>
      <c r="N22" s="124"/>
      <c r="O22" s="125">
        <f>IFERROR(VLOOKUP(M22,Tabla1315161719[[PILOTOS]:[PTOS.]],2,0),0)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IFERROR(VLOOKUP(H23,Tabla1315161719[[PILOTOS]:[PTOS.]],2,0),0)</f>
        <v>0</v>
      </c>
      <c r="K23" s="128"/>
      <c r="L23" s="123">
        <v>3</v>
      </c>
      <c r="M23" s="124"/>
      <c r="N23" s="124"/>
      <c r="O23" s="125">
        <f>IFERROR(VLOOKUP(M23,Tabla1315161719[[PILOTOS]:[PTOS.]],2,0),0)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IFERROR(VLOOKUP(H24,Tabla1315161719[[PILOTOS]:[PTOS.]],2,0),0)</f>
        <v>0</v>
      </c>
      <c r="K24" s="128"/>
      <c r="L24" s="123">
        <v>4</v>
      </c>
      <c r="M24" s="124"/>
      <c r="N24" s="124"/>
      <c r="O24" s="125">
        <f>IFERROR(VLOOKUP(M24,Tabla1315161719[[PILOTOS]:[PTOS.]],2,0),0)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IFERROR(VLOOKUP(H25,Tabla1315161719[[PILOTOS]:[PTOS.]],2,0),0)</f>
        <v>0</v>
      </c>
      <c r="K25" s="127"/>
      <c r="L25" s="123">
        <v>5</v>
      </c>
      <c r="M25" s="124"/>
      <c r="N25" s="124"/>
      <c r="O25" s="125">
        <f>IFERROR(VLOOKUP(M25,Tabla1315161719[[PILOTOS]:[PTOS.]],2,0),0)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IFERROR(VLOOKUP(H26,Tabla1315161719[[PILOTOS]:[PTOS.]],2,0),0)</f>
        <v>0</v>
      </c>
      <c r="K26" s="128"/>
      <c r="L26" s="123">
        <v>6</v>
      </c>
      <c r="M26" s="124"/>
      <c r="N26" s="124"/>
      <c r="O26" s="125">
        <f>IFERROR(VLOOKUP(M26,Tabla1315161719[[PILOTOS]:[PTOS.]],2,0),0)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IFERROR(VLOOKUP(H27,Tabla1315161719[[PILOTOS]:[PTOS.]],2,0),0)</f>
        <v>0</v>
      </c>
      <c r="K27" s="127"/>
      <c r="L27" s="123">
        <v>7</v>
      </c>
      <c r="M27" s="124"/>
      <c r="N27" s="124"/>
      <c r="O27" s="125">
        <f>IFERROR(VLOOKUP(M27,Tabla1315161719[[PILOTOS]:[PTOS.]],2,0),0)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IFERROR(VLOOKUP(H28,Tabla1315161719[[PILOTOS]:[PTOS.]],2,0),0)</f>
        <v>0</v>
      </c>
      <c r="K28" s="127"/>
      <c r="L28" s="123">
        <v>8</v>
      </c>
      <c r="M28" s="124"/>
      <c r="N28" s="124"/>
      <c r="O28" s="125">
        <f>IFERROR(VLOOKUP(M28,Tabla1315161719[[PILOTOS]:[PTOS.]],2,0),0)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IFERROR(VLOOKUP(H35,Tabla1315161719[[PILOTOS]:[PTOS.]],2,0),0)</f>
        <v>0</v>
      </c>
      <c r="K35" s="127"/>
    </row>
    <row r="36" spans="2:11" x14ac:dyDescent="0.25">
      <c r="B36" s="123">
        <f>+B35+1</f>
        <v>29</v>
      </c>
      <c r="C36" s="124"/>
      <c r="D36" s="125">
        <f>IFERROR(VLOOKUP(Tabla1315161719[[#This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IFERROR(VLOOKUP(H36,Tabla1315161719[[PILOTOS]:[PTOS.]],2,0),0)</f>
        <v>0</v>
      </c>
      <c r="K36" s="127"/>
    </row>
    <row r="37" spans="2:11" x14ac:dyDescent="0.25">
      <c r="B37" s="123">
        <f>+B36+1</f>
        <v>30</v>
      </c>
      <c r="C37" s="124"/>
      <c r="D37" s="125">
        <f>IFERROR(VLOOKUP(Tabla1315161719[[#This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IFERROR(VLOOKUP(H37,Tabla1315161719[[PILOTOS]:[PTOS.]],2,0),0)</f>
        <v>0</v>
      </c>
      <c r="K37" s="128"/>
    </row>
    <row r="38" spans="2:11" x14ac:dyDescent="0.25">
      <c r="B38" s="123">
        <f>+B37+1</f>
        <v>31</v>
      </c>
      <c r="C38" s="124"/>
      <c r="D38" s="125">
        <f>IFERROR(VLOOKUP(Tabla1315161719[[#This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IFERROR(VLOOKUP(H38,Tabla1315161719[[PILOTOS]:[PTOS.]],2,0),0)</f>
        <v>0</v>
      </c>
      <c r="K38" s="128"/>
    </row>
    <row r="39" spans="2:11" x14ac:dyDescent="0.25">
      <c r="B39" s="123">
        <f>+B38+1</f>
        <v>32</v>
      </c>
      <c r="C39" s="124"/>
      <c r="D39" s="125">
        <f>IFERROR(VLOOKUP(Tabla1315161719[[#This Row],[PILOTOS]],Clasificación_General!C34:H74,6,0),0)</f>
        <v>0</v>
      </c>
      <c r="E39" s="120"/>
      <c r="K39" s="127"/>
    </row>
    <row r="40" spans="2:11" x14ac:dyDescent="0.25">
      <c r="B40" s="123">
        <f>+B39+1</f>
        <v>33</v>
      </c>
      <c r="C40" s="124"/>
      <c r="D40" s="125">
        <f>IFERROR(VLOOKUP(Tabla1315161719[[#This Row],[PILOTOS]],Clasificación_General!C35:H75,6,0),0)</f>
        <v>0</v>
      </c>
      <c r="E40" s="120"/>
      <c r="K40" s="128"/>
    </row>
    <row r="41" spans="2:11" x14ac:dyDescent="0.25">
      <c r="B41" s="123">
        <f>+B40+1</f>
        <v>34</v>
      </c>
      <c r="C41" s="124"/>
      <c r="D41" s="125">
        <f>IFERROR(VLOOKUP(Tabla1315161719[[#This Row],[PILOTOS]],Clasificación_General!C36:H76,6,0),0)</f>
        <v>0</v>
      </c>
      <c r="E41" s="120"/>
      <c r="K41" s="127"/>
    </row>
    <row r="42" spans="2:11" x14ac:dyDescent="0.25">
      <c r="B42" s="123">
        <f>+B41+1</f>
        <v>35</v>
      </c>
      <c r="C42" s="124"/>
      <c r="D42" s="125">
        <f>IFERROR(VLOOKUP(Tabla1315161719[[#This Row],[PILOTOS]],Clasificación_General!C37:H77,6,0),0)</f>
        <v>0</v>
      </c>
      <c r="E42" s="120"/>
      <c r="K42" s="127"/>
    </row>
    <row r="43" spans="2:11" x14ac:dyDescent="0.25">
      <c r="B43" s="123">
        <f>+B42+1</f>
        <v>36</v>
      </c>
      <c r="C43" s="124"/>
      <c r="D43" s="125">
        <f>IFERROR(VLOOKUP(Tabla1315161719[[#This Row],[PILOTOS]],Clasificación_General!C38:H78,6,0),0)</f>
        <v>0</v>
      </c>
      <c r="E43" s="120"/>
      <c r="K43" s="127"/>
    </row>
    <row r="44" spans="2:11" x14ac:dyDescent="0.25">
      <c r="B44" s="123">
        <f>+B43+1</f>
        <v>37</v>
      </c>
      <c r="C44" s="124"/>
      <c r="D44" s="125">
        <f>IFERROR(VLOOKUP(Tabla1315161719[[#This Row],[PILOTOS]],Clasificación_General!C39:H79,6,0),0)</f>
        <v>0</v>
      </c>
      <c r="E44" s="120"/>
      <c r="K44" s="127"/>
    </row>
    <row r="45" spans="2:11" x14ac:dyDescent="0.25">
      <c r="B45" s="123">
        <f>+B44+1</f>
        <v>38</v>
      </c>
      <c r="C45" s="124"/>
      <c r="D45" s="125">
        <f>IFERROR(VLOOKUP(Tabla1315161719[[#This Row],[PILOTOS]],Clasificación_General!C40:H80,6,0),0)</f>
        <v>0</v>
      </c>
      <c r="E45" s="120"/>
      <c r="K45" s="127"/>
    </row>
    <row r="46" spans="2:11" x14ac:dyDescent="0.25">
      <c r="B46" s="123">
        <f>+B45+1</f>
        <v>39</v>
      </c>
      <c r="C46" s="124"/>
      <c r="D46" s="125">
        <f>IFERROR(VLOOKUP(Tabla1315161719[[#This Row],[PILOTOS]],Clasificación_General!C41:H81,6,0),0)</f>
        <v>0</v>
      </c>
      <c r="E46" s="120"/>
      <c r="K46" s="127"/>
    </row>
    <row r="47" spans="2:11" x14ac:dyDescent="0.25">
      <c r="B47" s="123">
        <f>+B46+1</f>
        <v>40</v>
      </c>
      <c r="C47" s="124"/>
      <c r="D47" s="125">
        <f>IFERROR(VLOOKUP(Tabla1315161719[[#This Row],[PILOTOS]],Clasificación_General!C42:H82,6,0),0)</f>
        <v>0</v>
      </c>
      <c r="E47" s="120"/>
      <c r="K47" s="127"/>
    </row>
    <row r="48" spans="2:11" x14ac:dyDescent="0.25">
      <c r="B48" s="123">
        <f>+B47+1</f>
        <v>41</v>
      </c>
      <c r="C48" s="124"/>
      <c r="D48" s="125">
        <f>IFERROR(VLOOKUP(Tabla1315161719[[#This Row],[PILOTOS]],Clasificación_General!C43:H83,6,0),0)</f>
        <v>0</v>
      </c>
      <c r="E48" s="120"/>
      <c r="K48" s="128"/>
    </row>
    <row r="49" spans="2:11" x14ac:dyDescent="0.25">
      <c r="B49" s="123">
        <f>+B48+1</f>
        <v>42</v>
      </c>
      <c r="C49" s="124"/>
      <c r="D49" s="125">
        <f>IFERROR(VLOOKUP(Tabla1315161719[[#This Row],[PILOTOS]],Clasificación_General!C44:H84,6,0),0)</f>
        <v>0</v>
      </c>
      <c r="E49" s="120"/>
      <c r="K49" s="128"/>
    </row>
    <row r="50" spans="2:11" x14ac:dyDescent="0.25">
      <c r="B50" s="123">
        <f>+B49+1</f>
        <v>43</v>
      </c>
      <c r="C50" s="124"/>
      <c r="D50" s="125">
        <f>IFERROR(VLOOKUP(Tabla1315161719[[#This Row],[PILOTOS]],Clasificación_General!C45:H85,6,0),0)</f>
        <v>0</v>
      </c>
      <c r="E50" s="120"/>
    </row>
    <row r="51" spans="2:11" x14ac:dyDescent="0.25">
      <c r="B51" s="123">
        <f>+B50+1</f>
        <v>44</v>
      </c>
      <c r="C51" s="124"/>
      <c r="D51" s="125">
        <f>IFERROR(VLOOKUP(Tabla1315161719[[#This Row],[PILOTOS]],Clasificación_General!C46:H86,6,0),0)</f>
        <v>0</v>
      </c>
      <c r="E51" s="120"/>
    </row>
    <row r="52" spans="2:11" x14ac:dyDescent="0.25">
      <c r="B52" s="123">
        <f>+B51+1</f>
        <v>45</v>
      </c>
      <c r="C52" s="124"/>
      <c r="D52" s="125">
        <f>IFERROR(VLOOKUP(Tabla1315161719[[#This Row],[PILOTOS]],Clasificación_General!C47:H87,6,0),0)</f>
        <v>0</v>
      </c>
      <c r="E52" s="120"/>
    </row>
    <row r="53" spans="2:11" x14ac:dyDescent="0.25">
      <c r="B53" s="123">
        <f>+B52+1</f>
        <v>46</v>
      </c>
      <c r="C53" s="124"/>
      <c r="D53" s="125">
        <f>IFERROR(VLOOKUP(Tabla1315161719[[#This Row],[PILOTOS]],Clasificación_General!C48:H88,6,0),0)</f>
        <v>0</v>
      </c>
      <c r="E53" s="120"/>
    </row>
    <row r="54" spans="2:11" x14ac:dyDescent="0.25">
      <c r="B54" s="123">
        <f>+B53+1</f>
        <v>47</v>
      </c>
      <c r="C54" s="124"/>
      <c r="D54" s="125">
        <f>IFERROR(VLOOKUP(Tabla1315161719[[#This Row],[PILOTOS]],Clasificación_General!C49:H89,6,0),0)</f>
        <v>0</v>
      </c>
      <c r="E54" s="120"/>
    </row>
    <row r="55" spans="2:11" x14ac:dyDescent="0.25">
      <c r="B55" s="123">
        <f>+B54+1</f>
        <v>48</v>
      </c>
      <c r="C55" s="124"/>
      <c r="D55" s="125">
        <f>IFERROR(VLOOKUP(Tabla1315161719[[#This Row],[PILOTOS]],Clasificación_General!C50:H90,6,0),0)</f>
        <v>0</v>
      </c>
      <c r="E55" s="120"/>
    </row>
    <row r="56" spans="2:11" x14ac:dyDescent="0.25">
      <c r="B56" s="123">
        <f>+B55+1</f>
        <v>49</v>
      </c>
      <c r="C56" s="124"/>
      <c r="D56" s="125">
        <f>IFERROR(VLOOKUP(Tabla1315161719[[#This Row],[PILOTOS]],Clasificación_General!C51:H91,6,0),0)</f>
        <v>0</v>
      </c>
      <c r="E56" s="120"/>
    </row>
    <row r="57" spans="2:11" x14ac:dyDescent="0.25">
      <c r="B57" s="123">
        <f>+B56+1</f>
        <v>50</v>
      </c>
      <c r="C57" s="124"/>
      <c r="D57" s="125">
        <f>IFERROR(VLOOKUP(Tabla1315161719[[#This Row],[PILOTOS]],Clasificación_General!C52:H92,6,0),0)</f>
        <v>0</v>
      </c>
      <c r="E57" s="120"/>
    </row>
    <row r="58" spans="2:11" x14ac:dyDescent="0.25">
      <c r="B58" s="123">
        <f>+B57+1</f>
        <v>51</v>
      </c>
      <c r="C58" s="124"/>
      <c r="D58" s="125">
        <f>IFERROR(VLOOKUP(Tabla1315161719[[#This Row],[PILOTOS]],Clasificación_General!C53:H93,6,0),0)</f>
        <v>0</v>
      </c>
      <c r="E58" s="120"/>
    </row>
    <row r="59" spans="2:11" x14ac:dyDescent="0.25">
      <c r="B59" s="123">
        <f>+B58+1</f>
        <v>52</v>
      </c>
      <c r="C59" s="124"/>
      <c r="D59" s="125">
        <f>IFERROR(VLOOKUP(Tabla1315161719[[#This Row],[PILOTOS]],Clasificación_General!C54:H94,6,0),0)</f>
        <v>0</v>
      </c>
      <c r="E59" s="120"/>
    </row>
    <row r="60" spans="2:11" x14ac:dyDescent="0.25">
      <c r="B60" s="123">
        <f>+B59+1</f>
        <v>53</v>
      </c>
      <c r="C60" s="124"/>
      <c r="D60" s="125">
        <f>IFERROR(VLOOKUP(Tabla1315161719[[#This Row],[PILOTOS]],Clasificación_General!C55:H95,6,0),0)</f>
        <v>0</v>
      </c>
      <c r="E60" s="120"/>
    </row>
    <row r="61" spans="2:11" x14ac:dyDescent="0.25">
      <c r="B61" s="123">
        <f>+B60+1</f>
        <v>54</v>
      </c>
      <c r="C61" s="124"/>
      <c r="D61" s="125">
        <f>IFERROR(VLOOKUP(Tabla1315161719[[#This Row],[PILOTOS]],Clasificación_General!C56:H96,6,0),0)</f>
        <v>0</v>
      </c>
      <c r="E61" s="120"/>
    </row>
  </sheetData>
  <autoFilter ref="H7:J15" xr:uid="{4A69056F-EA3D-4580-8A75-F7FF387BA112}"/>
  <mergeCells count="5">
    <mergeCell ref="G18:O18"/>
    <mergeCell ref="G4:O4"/>
    <mergeCell ref="G5:O5"/>
    <mergeCell ref="B5:E5"/>
    <mergeCell ref="G17:O17"/>
  </mergeCells>
  <phoneticPr fontId="4" type="noConversion"/>
  <dataValidations count="1">
    <dataValidation type="list" allowBlank="1" showInputMessage="1" showErrorMessage="1" sqref="M21:M28 H21:H28 M8:M15 H8:H15 H31:H38" xr:uid="{8CC1ADDC-55A8-47F9-B709-4EB9D5BB4B8D}">
      <formula1>$C$8:$C$35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00530E-B72A-4947-ADCF-84B4E083C9DF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E7B26D1D-74CE-470B-A159-F7C09CD1F3DE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B7781CE6-E378-4807-8868-DA4771448876}">
          <x14:formula1>
            <xm:f>'Listado Pilotos'!$B$3:$B$150</xm:f>
          </x14:formula1>
          <xm:sqref>C8:C14 C16:C61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0A20-A8DB-4276-A443-E82035E2D360}">
  <dimension ref="B1:T65"/>
  <sheetViews>
    <sheetView zoomScaleNormal="100" workbookViewId="0">
      <selection activeCell="C37" sqref="C37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 t="s">
        <v>411</v>
      </c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 t="s">
        <v>411</v>
      </c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 t="s">
        <v>411</v>
      </c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 t="s">
        <v>411</v>
      </c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 t="s">
        <v>411</v>
      </c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 t="s">
        <v>411</v>
      </c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 t="s">
        <v>411</v>
      </c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 t="s">
        <v>411</v>
      </c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 t="s">
        <v>411</v>
      </c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 t="s">
        <v>411</v>
      </c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 t="s">
        <v>411</v>
      </c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 t="s">
        <v>411</v>
      </c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 t="s">
        <v>411</v>
      </c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 t="s">
        <v>411</v>
      </c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 t="s">
        <v>411</v>
      </c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 t="s">
        <v>411</v>
      </c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 t="s">
        <v>411</v>
      </c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 t="s">
        <v>411</v>
      </c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 t="s">
        <v>411</v>
      </c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 t="s">
        <v>411</v>
      </c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 t="s">
        <v>411</v>
      </c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 t="s">
        <v>411</v>
      </c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 t="s">
        <v>411</v>
      </c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 t="s">
        <v>411</v>
      </c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 t="s">
        <v>411</v>
      </c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 t="s">
        <v>411</v>
      </c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 t="s">
        <v>411</v>
      </c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 t="s">
        <v>411</v>
      </c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 t="s">
        <v>411</v>
      </c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 t="s">
        <v>411</v>
      </c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 t="s">
        <v>411</v>
      </c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 t="s">
        <v>411</v>
      </c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 t="s">
        <v>411</v>
      </c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 t="s">
        <v>411</v>
      </c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 t="s">
        <v>411</v>
      </c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 t="s">
        <v>411</v>
      </c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 t="s">
        <v>411</v>
      </c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 t="s">
        <v>411</v>
      </c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 t="s">
        <v>411</v>
      </c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 t="s">
        <v>411</v>
      </c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 t="s">
        <v>411</v>
      </c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 t="s">
        <v>411</v>
      </c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 t="s">
        <v>411</v>
      </c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 t="s">
        <v>411</v>
      </c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C61" s="96"/>
    </row>
    <row r="62" spans="2:20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x14ac:dyDescent="0.15">
      <c r="B63" s="85" t="s">
        <v>446</v>
      </c>
      <c r="C63" s="86"/>
      <c r="D63" s="87"/>
      <c r="H63" s="79"/>
    </row>
    <row r="65" spans="2:20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14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019BBA9-8F72-4D0E-9B4C-2809C29845E1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14F7C0C6-1726-4AC0-98EB-EAE25C6E1123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AE9545A8-C6E5-443D-9421-B6A0FC160BAA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C8B9B6A5-62A4-421A-8771-45013756AF95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4EE2B03B-F5BA-4ABE-8155-BCBF44904C0B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82306115-FD54-4814-87A4-A6D9290087DA}">
          <x14:formula1>
            <xm:f>Inscritos_Mangas_S4Y!$C$8:$C$61</xm:f>
          </x14:formula1>
          <xm:sqref>C11:C54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0D77-51E6-4662-82AE-46F46CE945BB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401"/>
      <c r="H4" s="401"/>
      <c r="I4" s="401"/>
      <c r="J4" s="401"/>
      <c r="K4" s="401"/>
      <c r="L4" s="401"/>
      <c r="M4" s="401"/>
      <c r="N4" s="401"/>
      <c r="O4" s="401"/>
    </row>
    <row r="5" spans="2:15" ht="15.75" x14ac:dyDescent="0.25">
      <c r="B5" s="167" t="s">
        <v>566</v>
      </c>
      <c r="C5" s="167"/>
      <c r="D5" s="167"/>
      <c r="E5" s="167"/>
      <c r="G5" s="167" t="s">
        <v>495</v>
      </c>
      <c r="H5" s="167"/>
      <c r="I5" s="167"/>
      <c r="J5" s="167"/>
      <c r="K5" s="167"/>
      <c r="L5" s="167"/>
      <c r="M5" s="167"/>
      <c r="N5" s="167"/>
      <c r="O5" s="167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IFERROR(VLOOKUP(Tabla131516171920[[#This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IFERROR(VLOOKUP(H8,Tabla131516171920[[PILOTOS]:[PTOS.]],2,0),0)</f>
        <v>0</v>
      </c>
      <c r="K8" s="127"/>
      <c r="L8" s="123">
        <v>1</v>
      </c>
      <c r="M8" s="124"/>
      <c r="N8" s="124"/>
      <c r="O8" s="125">
        <f>IFERROR(VLOOKUP(M8,Tabla131516171920[[PILOTOS]:[PTOS.]],2,0),0)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IFERROR(VLOOKUP(Tabla131516171920[[#This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IFERROR(VLOOKUP(H9,Tabla131516171920[[PILOTOS]:[PTOS.]],2,0),0)</f>
        <v>0</v>
      </c>
      <c r="K9" s="127"/>
      <c r="L9" s="123">
        <v>2</v>
      </c>
      <c r="M9" s="124"/>
      <c r="N9" s="124"/>
      <c r="O9" s="125">
        <f>IFERROR(VLOOKUP(M9,Tabla131516171920[[PILOTOS]:[PTOS.]],2,0),0)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IFERROR(VLOOKUP(Tabla131516171920[[#This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IFERROR(VLOOKUP(H10,Tabla131516171920[[PILOTOS]:[PTOS.]],2,0),0)</f>
        <v>0</v>
      </c>
      <c r="K10" s="127"/>
      <c r="L10" s="123">
        <v>3</v>
      </c>
      <c r="M10" s="124"/>
      <c r="N10" s="124"/>
      <c r="O10" s="125">
        <f>IFERROR(VLOOKUP(M10,Tabla131516171920[[PILOTOS]:[PTOS.]],2,0),0)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IFERROR(VLOOKUP(Tabla131516171920[[#This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IFERROR(VLOOKUP(H11,Tabla131516171920[[PILOTOS]:[PTOS.]],2,0),0)</f>
        <v>0</v>
      </c>
      <c r="K11" s="127"/>
      <c r="L11" s="123">
        <v>4</v>
      </c>
      <c r="M11" s="124"/>
      <c r="N11" s="124"/>
      <c r="O11" s="125">
        <f>IFERROR(VLOOKUP(M11,Tabla131516171920[[PILOTOS]:[PTOS.]],2,0),0)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IFERROR(VLOOKUP(Tabla131516171920[[#This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IFERROR(VLOOKUP(H12,Tabla131516171920[[PILOTOS]:[PTOS.]],2,0),0)</f>
        <v>0</v>
      </c>
      <c r="K12" s="127"/>
      <c r="L12" s="123">
        <v>5</v>
      </c>
      <c r="M12" s="124"/>
      <c r="N12" s="124"/>
      <c r="O12" s="125">
        <f>IFERROR(VLOOKUP(M12,Tabla131516171920[[PILOTOS]:[PTOS.]],2,0),0)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IFERROR(VLOOKUP(Tabla131516171920[[#This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IFERROR(VLOOKUP(H13,Tabla131516171920[[PILOTOS]:[PTOS.]],2,0),0)</f>
        <v>0</v>
      </c>
      <c r="K13" s="127"/>
      <c r="L13" s="123">
        <v>6</v>
      </c>
      <c r="M13" s="124"/>
      <c r="N13" s="124"/>
      <c r="O13" s="125">
        <f>IFERROR(VLOOKUP(M13,Tabla131516171920[[PILOTOS]:[PTOS.]],2,0),0)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IFERROR(VLOOKUP(Tabla131516171920[[#This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IFERROR(VLOOKUP(H14,Tabla131516171920[[PILOTOS]:[PTOS.]],2,0),0)</f>
        <v>0</v>
      </c>
      <c r="K14" s="128"/>
      <c r="L14" s="123">
        <v>7</v>
      </c>
      <c r="M14" s="124"/>
      <c r="N14" s="124"/>
      <c r="O14" s="125">
        <f>IFERROR(VLOOKUP(M14,Tabla131516171920[[PILOTOS]:[PTOS.]],2,0),0)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IFERROR(VLOOKUP(Tabla131516171920[[#This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IFERROR(VLOOKUP(H15,Tabla131516171920[[PILOTOS]:[PTOS.]],2,0),0)</f>
        <v>0</v>
      </c>
      <c r="K15" s="78"/>
      <c r="L15" s="123">
        <v>8</v>
      </c>
      <c r="M15" s="124"/>
      <c r="N15" s="124"/>
      <c r="O15" s="125">
        <f>IFERROR(VLOOKUP(M15,Tabla131516171920[[PILOTOS]:[PTOS.]],2,0),0)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IFERROR(VLOOKUP(Tabla131516171920[[#This Row],[PILOTOS]],Clasificación_General!C11:H51,6,0),0)</f>
        <v>0</v>
      </c>
      <c r="E16" s="120"/>
      <c r="G16" s="399"/>
      <c r="H16" s="395"/>
      <c r="I16" s="395"/>
      <c r="J16" s="400"/>
      <c r="K16" s="78"/>
    </row>
    <row r="17" spans="2:15" x14ac:dyDescent="0.25">
      <c r="B17" s="123">
        <f t="shared" si="0"/>
        <v>10</v>
      </c>
      <c r="C17" s="124"/>
      <c r="D17" s="125">
        <f>IFERROR(VLOOKUP(Tabla131516171920[[#This Row],[PILOTOS]],Clasificación_General!C12:H52,6,0),0)</f>
        <v>0</v>
      </c>
      <c r="E17" s="120"/>
      <c r="G17" s="401"/>
      <c r="H17" s="401"/>
      <c r="I17" s="401"/>
      <c r="J17" s="401"/>
      <c r="K17" s="401"/>
      <c r="L17" s="401"/>
      <c r="M17" s="401"/>
      <c r="N17" s="401"/>
      <c r="O17" s="401"/>
    </row>
    <row r="18" spans="2:15" ht="15.75" x14ac:dyDescent="0.25">
      <c r="B18" s="123">
        <f t="shared" si="0"/>
        <v>11</v>
      </c>
      <c r="C18" s="124"/>
      <c r="D18" s="125">
        <f>IFERROR(VLOOKUP(Tabla131516171920[[#This Row],[PILOTOS]],Clasificación_General!C13:H53,6,0),0)</f>
        <v>0</v>
      </c>
      <c r="E18" s="120"/>
      <c r="G18" s="167" t="s">
        <v>571</v>
      </c>
      <c r="H18" s="167"/>
      <c r="I18" s="167"/>
      <c r="J18" s="167"/>
      <c r="K18" s="167"/>
      <c r="L18" s="167"/>
      <c r="M18" s="167"/>
      <c r="N18" s="167"/>
      <c r="O18" s="167"/>
    </row>
    <row r="19" spans="2:15" x14ac:dyDescent="0.25">
      <c r="B19" s="123">
        <f t="shared" si="0"/>
        <v>12</v>
      </c>
      <c r="C19" s="124"/>
      <c r="D19" s="125">
        <f>IFERROR(VLOOKUP(Tabla131516171920[[#This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IFERROR(VLOOKUP(Tabla131516171920[[#This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IFERROR(VLOOKUP(Tabla131516171920[[#This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IFERROR(VLOOKUP(H21,Tabla131516171920[[PILOTOS]:[PTOS.]],2,0),0)</f>
        <v>0</v>
      </c>
      <c r="K21" s="127"/>
      <c r="L21" s="123">
        <v>1</v>
      </c>
      <c r="M21" s="124"/>
      <c r="N21" s="124"/>
      <c r="O21" s="125">
        <f>IFERROR(VLOOKUP(M21,Tabla131516171920[[PILOTOS]:[PTOS.]],2,0),0)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IFERROR(VLOOKUP(Tabla131516171920[[#This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IFERROR(VLOOKUP(H22,Tabla131516171920[[PILOTOS]:[PTOS.]],2,0),0)</f>
        <v>0</v>
      </c>
      <c r="K22" s="127"/>
      <c r="L22" s="123">
        <v>2</v>
      </c>
      <c r="M22" s="124"/>
      <c r="N22" s="124"/>
      <c r="O22" s="125">
        <f>IFERROR(VLOOKUP(M22,Tabla131516171920[[PILOTOS]:[PTOS.]],2,0),0)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IFERROR(VLOOKUP(Tabla131516171920[[#This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IFERROR(VLOOKUP(H23,Tabla131516171920[[PILOTOS]:[PTOS.]],2,0),0)</f>
        <v>0</v>
      </c>
      <c r="K23" s="128"/>
      <c r="L23" s="123">
        <v>3</v>
      </c>
      <c r="M23" s="124"/>
      <c r="N23" s="124"/>
      <c r="O23" s="125">
        <f>IFERROR(VLOOKUP(M23,Tabla131516171920[[PILOTOS]:[PTOS.]],2,0),0)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IFERROR(VLOOKUP(Tabla131516171920[[#This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IFERROR(VLOOKUP(H24,Tabla131516171920[[PILOTOS]:[PTOS.]],2,0),0)</f>
        <v>0</v>
      </c>
      <c r="K24" s="128"/>
      <c r="L24" s="123">
        <v>4</v>
      </c>
      <c r="M24" s="124"/>
      <c r="N24" s="124"/>
      <c r="O24" s="125">
        <f>IFERROR(VLOOKUP(M24,Tabla131516171920[[PILOTOS]:[PTOS.]],2,0),0)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IFERROR(VLOOKUP(Tabla131516171920[[#This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IFERROR(VLOOKUP(H25,Tabla131516171920[[PILOTOS]:[PTOS.]],2,0),0)</f>
        <v>0</v>
      </c>
      <c r="K25" s="127"/>
      <c r="L25" s="123">
        <v>5</v>
      </c>
      <c r="M25" s="124"/>
      <c r="N25" s="124"/>
      <c r="O25" s="125">
        <f>IFERROR(VLOOKUP(M25,Tabla131516171920[[PILOTOS]:[PTOS.]],2,0),0)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IFERROR(VLOOKUP(Tabla131516171920[[#This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IFERROR(VLOOKUP(H26,Tabla131516171920[[PILOTOS]:[PTOS.]],2,0),0)</f>
        <v>0</v>
      </c>
      <c r="K26" s="128"/>
      <c r="L26" s="123">
        <v>6</v>
      </c>
      <c r="M26" s="124"/>
      <c r="N26" s="124"/>
      <c r="O26" s="125">
        <f>IFERROR(VLOOKUP(M26,Tabla131516171920[[PILOTOS]:[PTOS.]],2,0),0)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IFERROR(VLOOKUP(Tabla131516171920[[#This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IFERROR(VLOOKUP(H27,Tabla131516171920[[PILOTOS]:[PTOS.]],2,0),0)</f>
        <v>0</v>
      </c>
      <c r="K27" s="127"/>
      <c r="L27" s="123">
        <v>7</v>
      </c>
      <c r="M27" s="124"/>
      <c r="N27" s="124"/>
      <c r="O27" s="125">
        <f>IFERROR(VLOOKUP(M27,Tabla131516171920[[PILOTOS]:[PTOS.]],2,0),0)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IFERROR(VLOOKUP(Tabla131516171920[[#This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IFERROR(VLOOKUP(H28,Tabla131516171920[[PILOTOS]:[PTOS.]],2,0),0)</f>
        <v>0</v>
      </c>
      <c r="K28" s="127"/>
      <c r="L28" s="123">
        <v>8</v>
      </c>
      <c r="M28" s="124"/>
      <c r="N28" s="124"/>
      <c r="O28" s="125">
        <f>IFERROR(VLOOKUP(M28,Tabla131516171920[[PILOTOS]:[PTOS.]],2,0),0)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IFERROR(VLOOKUP(Tabla131516171920[[#This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IFERROR(VLOOKUP(Tabla131516171920[[#This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IFERROR(VLOOKUP(Tabla131516171920[[#This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IFERROR(VLOOKUP(H31,Tabla131516171920[[PILOTOS]:[PTOS.]],2,0),0)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IFERROR(VLOOKUP(Tabla131516171920[[#This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IFERROR(VLOOKUP(H32,Tabla131516171920[[PILOTOS]:[PTOS.]],2,0),0)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IFERROR(VLOOKUP(Tabla131516171920[[#This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IFERROR(VLOOKUP(H33,Tabla131516171920[[PILOTOS]:[PTOS.]],2,0),0)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IFERROR(VLOOKUP(Tabla131516171920[[#This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IFERROR(VLOOKUP(H34,Tabla131516171920[[PILOTOS]:[PTOS.]],2,0),0)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IFERROR(VLOOKUP(Tabla131516171920[[#This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IFERROR(VLOOKUP(H35,Tabla131516171920[[PILOTOS]:[PTOS.]],2,0),0)</f>
        <v>0</v>
      </c>
      <c r="K35" s="127"/>
    </row>
    <row r="36" spans="2:11" x14ac:dyDescent="0.25">
      <c r="B36" s="123">
        <f>+B35+1</f>
        <v>29</v>
      </c>
      <c r="C36" s="124"/>
      <c r="D36" s="125">
        <f>IFERROR(VLOOKUP(Tabla131516171920[[#This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IFERROR(VLOOKUP(H36,Tabla131516171920[[PILOTOS]:[PTOS.]],2,0),0)</f>
        <v>0</v>
      </c>
      <c r="K36" s="127"/>
    </row>
    <row r="37" spans="2:11" x14ac:dyDescent="0.25">
      <c r="B37" s="123">
        <f>+B36+1</f>
        <v>30</v>
      </c>
      <c r="C37" s="124"/>
      <c r="D37" s="125">
        <f>IFERROR(VLOOKUP(Tabla131516171920[[#This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IFERROR(VLOOKUP(H37,Tabla131516171920[[PILOTOS]:[PTOS.]],2,0),0)</f>
        <v>0</v>
      </c>
      <c r="K37" s="128"/>
    </row>
    <row r="38" spans="2:11" x14ac:dyDescent="0.25">
      <c r="B38" s="123">
        <f>+B37+1</f>
        <v>31</v>
      </c>
      <c r="C38" s="124"/>
      <c r="D38" s="125">
        <f>IFERROR(VLOOKUP(Tabla131516171920[[#This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IFERROR(VLOOKUP(H38,Tabla131516171920[[PILOTOS]:[PTOS.]],2,0),0)</f>
        <v>0</v>
      </c>
      <c r="K38" s="128"/>
    </row>
    <row r="39" spans="2:11" x14ac:dyDescent="0.25">
      <c r="B39" s="123">
        <f>+B38+1</f>
        <v>32</v>
      </c>
      <c r="C39" s="124"/>
      <c r="D39" s="125">
        <f>IFERROR(VLOOKUP(Tabla131516171920[[#This Row],[PILOTOS]],Clasificación_General!C34:H74,6,0),0)</f>
        <v>0</v>
      </c>
      <c r="E39" s="120"/>
      <c r="K39" s="127"/>
    </row>
    <row r="40" spans="2:11" x14ac:dyDescent="0.25">
      <c r="B40" s="123">
        <f>+B39+1</f>
        <v>33</v>
      </c>
      <c r="C40" s="124"/>
      <c r="D40" s="125">
        <f>IFERROR(VLOOKUP(Tabla131516171920[[#This Row],[PILOTOS]],Clasificación_General!C35:H75,6,0),0)</f>
        <v>0</v>
      </c>
      <c r="E40" s="120"/>
      <c r="K40" s="128"/>
    </row>
    <row r="41" spans="2:11" x14ac:dyDescent="0.25">
      <c r="B41" s="123">
        <f>+B40+1</f>
        <v>34</v>
      </c>
      <c r="C41" s="124"/>
      <c r="D41" s="125">
        <f>IFERROR(VLOOKUP(Tabla131516171920[[#This Row],[PILOTOS]],Clasificación_General!C36:H76,6,0),0)</f>
        <v>0</v>
      </c>
      <c r="E41" s="120"/>
      <c r="K41" s="127"/>
    </row>
    <row r="42" spans="2:11" x14ac:dyDescent="0.25">
      <c r="B42" s="123">
        <f>+B41+1</f>
        <v>35</v>
      </c>
      <c r="C42" s="124"/>
      <c r="D42" s="125">
        <f>IFERROR(VLOOKUP(Tabla131516171920[[#This Row],[PILOTOS]],Clasificación_General!C37:H77,6,0),0)</f>
        <v>0</v>
      </c>
      <c r="E42" s="120"/>
      <c r="K42" s="127"/>
    </row>
    <row r="43" spans="2:11" x14ac:dyDescent="0.25">
      <c r="B43" s="123">
        <f>+B42+1</f>
        <v>36</v>
      </c>
      <c r="C43" s="124"/>
      <c r="D43" s="125">
        <f>IFERROR(VLOOKUP(Tabla131516171920[[#This Row],[PILOTOS]],Clasificación_General!C38:H78,6,0),0)</f>
        <v>0</v>
      </c>
      <c r="E43" s="120"/>
      <c r="K43" s="127"/>
    </row>
    <row r="44" spans="2:11" x14ac:dyDescent="0.25">
      <c r="B44" s="123">
        <f>+B43+1</f>
        <v>37</v>
      </c>
      <c r="C44" s="124"/>
      <c r="D44" s="125">
        <f>IFERROR(VLOOKUP(Tabla131516171920[[#This Row],[PILOTOS]],Clasificación_General!C39:H79,6,0),0)</f>
        <v>0</v>
      </c>
      <c r="E44" s="120"/>
      <c r="K44" s="127"/>
    </row>
    <row r="45" spans="2:11" x14ac:dyDescent="0.25">
      <c r="B45" s="123">
        <f>+B44+1</f>
        <v>38</v>
      </c>
      <c r="C45" s="124"/>
      <c r="D45" s="125">
        <f>IFERROR(VLOOKUP(Tabla131516171920[[#This Row],[PILOTOS]],Clasificación_General!C40:H80,6,0),0)</f>
        <v>0</v>
      </c>
      <c r="E45" s="120"/>
      <c r="K45" s="127"/>
    </row>
    <row r="46" spans="2:11" x14ac:dyDescent="0.25">
      <c r="B46" s="123">
        <f>+B45+1</f>
        <v>39</v>
      </c>
      <c r="C46" s="124"/>
      <c r="D46" s="125">
        <f>IFERROR(VLOOKUP(Tabla131516171920[[#This Row],[PILOTOS]],Clasificación_General!C41:H81,6,0),0)</f>
        <v>0</v>
      </c>
      <c r="E46" s="120"/>
      <c r="K46" s="127"/>
    </row>
    <row r="47" spans="2:11" x14ac:dyDescent="0.25">
      <c r="B47" s="123">
        <f>+B46+1</f>
        <v>40</v>
      </c>
      <c r="C47" s="124"/>
      <c r="D47" s="125">
        <f>IFERROR(VLOOKUP(Tabla131516171920[[#This Row],[PILOTOS]],Clasificación_General!C42:H82,6,0),0)</f>
        <v>0</v>
      </c>
      <c r="E47" s="120"/>
      <c r="K47" s="127"/>
    </row>
    <row r="48" spans="2:11" x14ac:dyDescent="0.25">
      <c r="B48" s="123">
        <f>+B47+1</f>
        <v>41</v>
      </c>
      <c r="C48" s="124"/>
      <c r="D48" s="125">
        <f>IFERROR(VLOOKUP(Tabla131516171920[[#This Row],[PILOTOS]],Clasificación_General!C43:H83,6,0),0)</f>
        <v>0</v>
      </c>
      <c r="E48" s="120"/>
      <c r="K48" s="128"/>
    </row>
    <row r="49" spans="2:11" x14ac:dyDescent="0.25">
      <c r="B49" s="123">
        <f>+B48+1</f>
        <v>42</v>
      </c>
      <c r="C49" s="124"/>
      <c r="D49" s="125">
        <f>IFERROR(VLOOKUP(Tabla131516171920[[#This Row],[PILOTOS]],Clasificación_General!C44:H84,6,0),0)</f>
        <v>0</v>
      </c>
      <c r="E49" s="120"/>
      <c r="K49" s="128"/>
    </row>
    <row r="50" spans="2:11" x14ac:dyDescent="0.25">
      <c r="B50" s="123">
        <f>+B49+1</f>
        <v>43</v>
      </c>
      <c r="C50" s="124"/>
      <c r="D50" s="125">
        <f>IFERROR(VLOOKUP(Tabla131516171920[[#This Row],[PILOTOS]],Clasificación_General!C45:H85,6,0),0)</f>
        <v>0</v>
      </c>
      <c r="E50" s="120"/>
    </row>
    <row r="51" spans="2:11" x14ac:dyDescent="0.25">
      <c r="B51" s="123">
        <f>+B50+1</f>
        <v>44</v>
      </c>
      <c r="C51" s="124"/>
      <c r="D51" s="125">
        <f>IFERROR(VLOOKUP(Tabla131516171920[[#This Row],[PILOTOS]],Clasificación_General!C46:H86,6,0),0)</f>
        <v>0</v>
      </c>
      <c r="E51" s="120"/>
    </row>
    <row r="52" spans="2:11" x14ac:dyDescent="0.25">
      <c r="B52" s="123">
        <f>+B51+1</f>
        <v>45</v>
      </c>
      <c r="C52" s="124"/>
      <c r="D52" s="125">
        <f>IFERROR(VLOOKUP(Tabla131516171920[[#This Row],[PILOTOS]],Clasificación_General!C47:H87,6,0),0)</f>
        <v>0</v>
      </c>
      <c r="E52" s="120"/>
    </row>
    <row r="53" spans="2:11" x14ac:dyDescent="0.25">
      <c r="B53" s="123">
        <f>+B52+1</f>
        <v>46</v>
      </c>
      <c r="C53" s="124"/>
      <c r="D53" s="125">
        <f>IFERROR(VLOOKUP(Tabla131516171920[[#This Row],[PILOTOS]],Clasificación_General!C48:H88,6,0),0)</f>
        <v>0</v>
      </c>
      <c r="E53" s="120"/>
    </row>
    <row r="54" spans="2:11" x14ac:dyDescent="0.25">
      <c r="B54" s="123">
        <f>+B53+1</f>
        <v>47</v>
      </c>
      <c r="C54" s="124"/>
      <c r="D54" s="125">
        <f>IFERROR(VLOOKUP(Tabla131516171920[[#This Row],[PILOTOS]],Clasificación_General!C49:H89,6,0),0)</f>
        <v>0</v>
      </c>
      <c r="E54" s="120"/>
    </row>
    <row r="55" spans="2:11" x14ac:dyDescent="0.25">
      <c r="B55" s="123">
        <f>+B54+1</f>
        <v>48</v>
      </c>
      <c r="C55" s="124"/>
      <c r="D55" s="125">
        <f>IFERROR(VLOOKUP(Tabla131516171920[[#This Row],[PILOTOS]],Clasificación_General!C50:H90,6,0),0)</f>
        <v>0</v>
      </c>
      <c r="E55" s="120"/>
    </row>
    <row r="56" spans="2:11" x14ac:dyDescent="0.25">
      <c r="B56" s="123">
        <f>+B55+1</f>
        <v>49</v>
      </c>
      <c r="C56" s="124"/>
      <c r="D56" s="125">
        <f>IFERROR(VLOOKUP(Tabla131516171920[[#This Row],[PILOTOS]],Clasificación_General!C51:H91,6,0),0)</f>
        <v>0</v>
      </c>
      <c r="E56" s="120"/>
    </row>
    <row r="57" spans="2:11" x14ac:dyDescent="0.25">
      <c r="B57" s="123">
        <f>+B56+1</f>
        <v>50</v>
      </c>
      <c r="C57" s="124"/>
      <c r="D57" s="125">
        <f>IFERROR(VLOOKUP(Tabla131516171920[[#This Row],[PILOTOS]],Clasificación_General!C52:H92,6,0),0)</f>
        <v>0</v>
      </c>
      <c r="E57" s="120"/>
    </row>
    <row r="58" spans="2:11" x14ac:dyDescent="0.25">
      <c r="B58" s="123">
        <f>+B57+1</f>
        <v>51</v>
      </c>
      <c r="C58" s="124"/>
      <c r="D58" s="125">
        <f>IFERROR(VLOOKUP(Tabla131516171920[[#This Row],[PILOTOS]],Clasificación_General!C53:H93,6,0),0)</f>
        <v>0</v>
      </c>
      <c r="E58" s="120"/>
    </row>
    <row r="59" spans="2:11" x14ac:dyDescent="0.25">
      <c r="B59" s="123">
        <f>+B58+1</f>
        <v>52</v>
      </c>
      <c r="C59" s="124"/>
      <c r="D59" s="125">
        <f>IFERROR(VLOOKUP(Tabla131516171920[[#This Row],[PILOTOS]],Clasificación_General!C54:H94,6,0),0)</f>
        <v>0</v>
      </c>
      <c r="E59" s="120"/>
    </row>
    <row r="60" spans="2:11" x14ac:dyDescent="0.25">
      <c r="B60" s="123">
        <f>+B59+1</f>
        <v>53</v>
      </c>
      <c r="C60" s="124"/>
      <c r="D60" s="125">
        <f>IFERROR(VLOOKUP(Tabla131516171920[[#This Row],[PILOTOS]],Clasificación_General!C55:H95,6,0),0)</f>
        <v>0</v>
      </c>
      <c r="E60" s="120"/>
    </row>
    <row r="61" spans="2:11" x14ac:dyDescent="0.25">
      <c r="B61" s="123">
        <f>+B60+1</f>
        <v>54</v>
      </c>
      <c r="C61" s="124"/>
      <c r="D61" s="125">
        <f>IFERROR(VLOOKUP(Tabla131516171920[[#This Row],[PILOTOS]],Clasificación_General!C56:H96,6,0),0)</f>
        <v>0</v>
      </c>
      <c r="E61" s="120"/>
    </row>
  </sheetData>
  <autoFilter ref="H7:J15" xr:uid="{4A69056F-EA3D-4580-8A75-F7FF387BA112}"/>
  <mergeCells count="5">
    <mergeCell ref="G4:O4"/>
    <mergeCell ref="B5:E5"/>
    <mergeCell ref="G5:O5"/>
    <mergeCell ref="G17:O17"/>
    <mergeCell ref="G18:O18"/>
  </mergeCells>
  <dataValidations count="1">
    <dataValidation type="list" allowBlank="1" showInputMessage="1" showErrorMessage="1" sqref="M21:M28 H21:H28 M8:M15 H8:H15 H31:H38" xr:uid="{8AD49DCA-8538-4BB5-960E-7B619E0C737F}">
      <formula1>$C$8:$C$35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08C4D9-0C78-4AB7-BC38-C0C5D7C4ADF8}">
          <x14:formula1>
            <xm:f>'Listado Pilotos'!$B$3:$B$150</xm:f>
          </x14:formula1>
          <xm:sqref>C8:C14 C16:C61</xm:sqref>
        </x14:dataValidation>
        <x14:dataValidation type="list" allowBlank="1" showInputMessage="1" showErrorMessage="1" xr:uid="{10730D53-F9B0-47CA-B920-F7FEEB27FAE1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EF1DD393-C50B-47A0-A8E6-6ADC866579F0}">
          <x14:formula1>
            <xm:f>Tabla_de_Datos_GENERALES!$G$3:$G$5</xm:f>
          </x14:formula1>
          <xm:sqref>E8:E61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C3A3-168B-4E0B-98E7-F744F2C942C5}">
  <dimension ref="B1:T65"/>
  <sheetViews>
    <sheetView zoomScaleNormal="100" workbookViewId="0">
      <selection activeCell="D5" sqref="D5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 t="s">
        <v>411</v>
      </c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 t="s">
        <v>411</v>
      </c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 t="s">
        <v>411</v>
      </c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 t="s">
        <v>411</v>
      </c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 t="s">
        <v>411</v>
      </c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 t="s">
        <v>411</v>
      </c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 t="s">
        <v>411</v>
      </c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 t="s">
        <v>411</v>
      </c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 t="s">
        <v>411</v>
      </c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 t="s">
        <v>411</v>
      </c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 t="s">
        <v>411</v>
      </c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 t="s">
        <v>411</v>
      </c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 t="s">
        <v>411</v>
      </c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 t="s">
        <v>411</v>
      </c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 t="s">
        <v>411</v>
      </c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 t="s">
        <v>411</v>
      </c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 t="s">
        <v>411</v>
      </c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 t="s">
        <v>411</v>
      </c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 t="s">
        <v>411</v>
      </c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 t="s">
        <v>411</v>
      </c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 t="s">
        <v>411</v>
      </c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 t="s">
        <v>411</v>
      </c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 t="s">
        <v>411</v>
      </c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 t="s">
        <v>411</v>
      </c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 t="s">
        <v>411</v>
      </c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 t="s">
        <v>411</v>
      </c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 t="s">
        <v>411</v>
      </c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 t="s">
        <v>411</v>
      </c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 t="s">
        <v>411</v>
      </c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 t="s">
        <v>411</v>
      </c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 t="s">
        <v>411</v>
      </c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 t="s">
        <v>411</v>
      </c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 t="s">
        <v>411</v>
      </c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 t="s">
        <v>411</v>
      </c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 t="s">
        <v>411</v>
      </c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 t="s">
        <v>411</v>
      </c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 t="s">
        <v>411</v>
      </c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 t="s">
        <v>411</v>
      </c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 t="s">
        <v>411</v>
      </c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 t="s">
        <v>411</v>
      </c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 t="s">
        <v>411</v>
      </c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 t="s">
        <v>411</v>
      </c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 t="s">
        <v>411</v>
      </c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 t="s">
        <v>411</v>
      </c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s="79" customFormat="1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s="79" customFormat="1" x14ac:dyDescent="0.15">
      <c r="C58" s="96"/>
      <c r="H58" s="88"/>
      <c r="M58" s="81"/>
      <c r="N58" s="81"/>
    </row>
    <row r="59" spans="2:20" s="79" customFormat="1" x14ac:dyDescent="0.15">
      <c r="C59" s="96"/>
      <c r="H59" s="88"/>
      <c r="M59" s="81"/>
      <c r="N59" s="81"/>
    </row>
    <row r="60" spans="2:20" s="79" customFormat="1" x14ac:dyDescent="0.15">
      <c r="C60" s="96"/>
      <c r="H60" s="88"/>
      <c r="M60" s="81"/>
      <c r="N60" s="81"/>
    </row>
    <row r="61" spans="2:20" s="79" customFormat="1" x14ac:dyDescent="0.15">
      <c r="C61" s="96"/>
      <c r="H61" s="88"/>
      <c r="M61" s="81"/>
      <c r="N61" s="81"/>
    </row>
    <row r="62" spans="2:20" s="79" customFormat="1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s="79" customFormat="1" x14ac:dyDescent="0.15">
      <c r="B63" s="85" t="s">
        <v>446</v>
      </c>
      <c r="C63" s="86"/>
      <c r="D63" s="87"/>
      <c r="M63" s="81"/>
      <c r="N63" s="81"/>
    </row>
    <row r="64" spans="2:20" s="79" customFormat="1" x14ac:dyDescent="0.15">
      <c r="H64" s="88"/>
      <c r="M64" s="81"/>
      <c r="N64" s="81"/>
    </row>
    <row r="65" spans="2:20" s="79" customFormat="1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7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B89E0E6-98FA-4EE4-AAFD-5C6F6792522F}">
          <x14:formula1>
            <xm:f>Inscritos_Mangas_S4Y!$C$8:$C$61</xm:f>
          </x14:formula1>
          <xm:sqref>C11:C54</xm:sqref>
        </x14:dataValidation>
        <x14:dataValidation type="list" allowBlank="1" showInputMessage="1" showErrorMessage="1" xr:uid="{FBC6517B-8AE9-41EA-A633-0FA3FBAA699D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AA581914-CA9E-40EB-9D76-264610872125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8B705BF2-87C2-40E0-9F15-E75B19D91C62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EFB52872-4659-4155-AF3E-289C50FC3B9A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DC780C07-9F90-4158-A044-25CA486052A0}">
          <x14:formula1>
            <xm:f>Tabla_de_Datos_COCHES!$I$28:$I$31</xm:f>
          </x14:formula1>
          <xm:sqref>S11:S54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5677-DFC9-49B5-9C4F-CE3D25CF1432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401"/>
      <c r="H4" s="401"/>
      <c r="I4" s="401"/>
      <c r="J4" s="401"/>
      <c r="K4" s="401"/>
      <c r="L4" s="401"/>
      <c r="M4" s="401"/>
      <c r="N4" s="401"/>
      <c r="O4" s="401"/>
    </row>
    <row r="5" spans="2:15" ht="15.75" x14ac:dyDescent="0.25">
      <c r="B5" s="167" t="s">
        <v>566</v>
      </c>
      <c r="C5" s="167"/>
      <c r="D5" s="167"/>
      <c r="E5" s="167"/>
      <c r="G5" s="167" t="s">
        <v>495</v>
      </c>
      <c r="H5" s="167"/>
      <c r="I5" s="167"/>
      <c r="J5" s="167"/>
      <c r="K5" s="167"/>
      <c r="L5" s="167"/>
      <c r="M5" s="167"/>
      <c r="N5" s="167"/>
      <c r="O5" s="167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IFERROR(VLOOKUP(Tabla13151617192021[[#This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IFERROR(VLOOKUP(H8,Tabla13151617192021[[PILOTOS]:[PTOS.]],2,0),0)</f>
        <v>0</v>
      </c>
      <c r="K8" s="127"/>
      <c r="L8" s="123">
        <v>1</v>
      </c>
      <c r="M8" s="124"/>
      <c r="N8" s="124"/>
      <c r="O8" s="125">
        <f>IFERROR(VLOOKUP(M8,Tabla13151617192021[[PILOTOS]:[PTOS.]],2,0),0)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IFERROR(VLOOKUP(Tabla13151617192021[[#This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IFERROR(VLOOKUP(H9,Tabla13151617192021[[PILOTOS]:[PTOS.]],2,0),0)</f>
        <v>0</v>
      </c>
      <c r="K9" s="127"/>
      <c r="L9" s="123">
        <v>2</v>
      </c>
      <c r="M9" s="124"/>
      <c r="N9" s="124"/>
      <c r="O9" s="125">
        <f>IFERROR(VLOOKUP(M9,Tabla13151617192021[[PILOTOS]:[PTOS.]],2,0),0)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IFERROR(VLOOKUP(Tabla13151617192021[[#This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IFERROR(VLOOKUP(H10,Tabla13151617192021[[PILOTOS]:[PTOS.]],2,0),0)</f>
        <v>0</v>
      </c>
      <c r="K10" s="127"/>
      <c r="L10" s="123">
        <v>3</v>
      </c>
      <c r="M10" s="124"/>
      <c r="N10" s="124"/>
      <c r="O10" s="125">
        <f>IFERROR(VLOOKUP(M10,Tabla13151617192021[[PILOTOS]:[PTOS.]],2,0),0)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IFERROR(VLOOKUP(Tabla13151617192021[[#This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IFERROR(VLOOKUP(H11,Tabla13151617192021[[PILOTOS]:[PTOS.]],2,0),0)</f>
        <v>0</v>
      </c>
      <c r="K11" s="127"/>
      <c r="L11" s="123">
        <v>4</v>
      </c>
      <c r="M11" s="124"/>
      <c r="N11" s="124"/>
      <c r="O11" s="125">
        <f>IFERROR(VLOOKUP(M11,Tabla13151617192021[[PILOTOS]:[PTOS.]],2,0),0)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IFERROR(VLOOKUP(Tabla13151617192021[[#This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IFERROR(VLOOKUP(H12,Tabla13151617192021[[PILOTOS]:[PTOS.]],2,0),0)</f>
        <v>0</v>
      </c>
      <c r="K12" s="127"/>
      <c r="L12" s="123">
        <v>5</v>
      </c>
      <c r="M12" s="124"/>
      <c r="N12" s="124"/>
      <c r="O12" s="125">
        <f>IFERROR(VLOOKUP(M12,Tabla13151617192021[[PILOTOS]:[PTOS.]],2,0),0)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IFERROR(VLOOKUP(Tabla13151617192021[[#This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IFERROR(VLOOKUP(H13,Tabla13151617192021[[PILOTOS]:[PTOS.]],2,0),0)</f>
        <v>0</v>
      </c>
      <c r="K13" s="127"/>
      <c r="L13" s="123">
        <v>6</v>
      </c>
      <c r="M13" s="124"/>
      <c r="N13" s="124"/>
      <c r="O13" s="125">
        <f>IFERROR(VLOOKUP(M13,Tabla13151617192021[[PILOTOS]:[PTOS.]],2,0),0)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IFERROR(VLOOKUP(Tabla13151617192021[[#This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IFERROR(VLOOKUP(H14,Tabla13151617192021[[PILOTOS]:[PTOS.]],2,0),0)</f>
        <v>0</v>
      </c>
      <c r="K14" s="128"/>
      <c r="L14" s="123">
        <v>7</v>
      </c>
      <c r="M14" s="124"/>
      <c r="N14" s="124"/>
      <c r="O14" s="125">
        <f>IFERROR(VLOOKUP(M14,Tabla13151617192021[[PILOTOS]:[PTOS.]],2,0),0)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IFERROR(VLOOKUP(Tabla13151617192021[[#This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IFERROR(VLOOKUP(H15,Tabla13151617192021[[PILOTOS]:[PTOS.]],2,0),0)</f>
        <v>0</v>
      </c>
      <c r="K15" s="78"/>
      <c r="L15" s="123">
        <v>8</v>
      </c>
      <c r="M15" s="124"/>
      <c r="N15" s="124"/>
      <c r="O15" s="125">
        <f>IFERROR(VLOOKUP(M15,Tabla13151617192021[[PILOTOS]:[PTOS.]],2,0),0)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IFERROR(VLOOKUP(Tabla13151617192021[[#This Row],[PILOTOS]],Clasificación_General!C11:H51,6,0),0)</f>
        <v>0</v>
      </c>
      <c r="E16" s="120"/>
      <c r="G16" s="399"/>
      <c r="H16" s="395"/>
      <c r="I16" s="395"/>
      <c r="J16" s="400"/>
      <c r="K16" s="78"/>
    </row>
    <row r="17" spans="2:15" x14ac:dyDescent="0.25">
      <c r="B17" s="123">
        <f t="shared" si="0"/>
        <v>10</v>
      </c>
      <c r="C17" s="124"/>
      <c r="D17" s="125">
        <f>IFERROR(VLOOKUP(Tabla13151617192021[[#This Row],[PILOTOS]],Clasificación_General!C12:H52,6,0),0)</f>
        <v>0</v>
      </c>
      <c r="E17" s="120"/>
      <c r="G17" s="401"/>
      <c r="H17" s="401"/>
      <c r="I17" s="401"/>
      <c r="J17" s="401"/>
      <c r="K17" s="401"/>
      <c r="L17" s="401"/>
      <c r="M17" s="401"/>
      <c r="N17" s="401"/>
      <c r="O17" s="401"/>
    </row>
    <row r="18" spans="2:15" ht="15.75" x14ac:dyDescent="0.25">
      <c r="B18" s="123">
        <f t="shared" si="0"/>
        <v>11</v>
      </c>
      <c r="C18" s="124"/>
      <c r="D18" s="125">
        <f>IFERROR(VLOOKUP(Tabla13151617192021[[#This Row],[PILOTOS]],Clasificación_General!C13:H53,6,0),0)</f>
        <v>0</v>
      </c>
      <c r="E18" s="120"/>
      <c r="G18" s="167" t="s">
        <v>571</v>
      </c>
      <c r="H18" s="167"/>
      <c r="I18" s="167"/>
      <c r="J18" s="167"/>
      <c r="K18" s="167"/>
      <c r="L18" s="167"/>
      <c r="M18" s="167"/>
      <c r="N18" s="167"/>
      <c r="O18" s="167"/>
    </row>
    <row r="19" spans="2:15" x14ac:dyDescent="0.25">
      <c r="B19" s="123">
        <f t="shared" si="0"/>
        <v>12</v>
      </c>
      <c r="C19" s="124"/>
      <c r="D19" s="125">
        <f>IFERROR(VLOOKUP(Tabla13151617192021[[#This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IFERROR(VLOOKUP(Tabla13151617192021[[#This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IFERROR(VLOOKUP(Tabla13151617192021[[#This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IFERROR(VLOOKUP(H21,Tabla13151617192021[[PILOTOS]:[PTOS.]],2,0),0)</f>
        <v>0</v>
      </c>
      <c r="K21" s="127"/>
      <c r="L21" s="123">
        <v>1</v>
      </c>
      <c r="M21" s="124"/>
      <c r="N21" s="124"/>
      <c r="O21" s="125">
        <f>IFERROR(VLOOKUP(M21,Tabla13151617192021[[PILOTOS]:[PTOS.]],2,0),0)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IFERROR(VLOOKUP(Tabla13151617192021[[#This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IFERROR(VLOOKUP(H22,Tabla13151617192021[[PILOTOS]:[PTOS.]],2,0),0)</f>
        <v>0</v>
      </c>
      <c r="K22" s="127"/>
      <c r="L22" s="123">
        <v>2</v>
      </c>
      <c r="M22" s="124"/>
      <c r="N22" s="124"/>
      <c r="O22" s="125">
        <f>IFERROR(VLOOKUP(M22,Tabla13151617192021[[PILOTOS]:[PTOS.]],2,0),0)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IFERROR(VLOOKUP(Tabla13151617192021[[#This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IFERROR(VLOOKUP(H23,Tabla13151617192021[[PILOTOS]:[PTOS.]],2,0),0)</f>
        <v>0</v>
      </c>
      <c r="K23" s="128"/>
      <c r="L23" s="123">
        <v>3</v>
      </c>
      <c r="M23" s="124"/>
      <c r="N23" s="124"/>
      <c r="O23" s="125">
        <f>IFERROR(VLOOKUP(M23,Tabla13151617192021[[PILOTOS]:[PTOS.]],2,0),0)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IFERROR(VLOOKUP(Tabla13151617192021[[#This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IFERROR(VLOOKUP(H24,Tabla13151617192021[[PILOTOS]:[PTOS.]],2,0),0)</f>
        <v>0</v>
      </c>
      <c r="K24" s="128"/>
      <c r="L24" s="123">
        <v>4</v>
      </c>
      <c r="M24" s="124"/>
      <c r="N24" s="124"/>
      <c r="O24" s="125">
        <f>IFERROR(VLOOKUP(M24,Tabla13151617192021[[PILOTOS]:[PTOS.]],2,0),0)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IFERROR(VLOOKUP(Tabla13151617192021[[#This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IFERROR(VLOOKUP(H25,Tabla13151617192021[[PILOTOS]:[PTOS.]],2,0),0)</f>
        <v>0</v>
      </c>
      <c r="K25" s="127"/>
      <c r="L25" s="123">
        <v>5</v>
      </c>
      <c r="M25" s="124"/>
      <c r="N25" s="124"/>
      <c r="O25" s="125">
        <f>IFERROR(VLOOKUP(M25,Tabla13151617192021[[PILOTOS]:[PTOS.]],2,0),0)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IFERROR(VLOOKUP(Tabla13151617192021[[#This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IFERROR(VLOOKUP(H26,Tabla13151617192021[[PILOTOS]:[PTOS.]],2,0),0)</f>
        <v>0</v>
      </c>
      <c r="K26" s="128"/>
      <c r="L26" s="123">
        <v>6</v>
      </c>
      <c r="M26" s="124"/>
      <c r="N26" s="124"/>
      <c r="O26" s="125">
        <f>IFERROR(VLOOKUP(M26,Tabla13151617192021[[PILOTOS]:[PTOS.]],2,0),0)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IFERROR(VLOOKUP(Tabla13151617192021[[#This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IFERROR(VLOOKUP(H27,Tabla13151617192021[[PILOTOS]:[PTOS.]],2,0),0)</f>
        <v>0</v>
      </c>
      <c r="K27" s="127"/>
      <c r="L27" s="123">
        <v>7</v>
      </c>
      <c r="M27" s="124"/>
      <c r="N27" s="124"/>
      <c r="O27" s="125">
        <f>IFERROR(VLOOKUP(M27,Tabla13151617192021[[PILOTOS]:[PTOS.]],2,0),0)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IFERROR(VLOOKUP(Tabla13151617192021[[#This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IFERROR(VLOOKUP(H28,Tabla13151617192021[[PILOTOS]:[PTOS.]],2,0),0)</f>
        <v>0</v>
      </c>
      <c r="K28" s="127"/>
      <c r="L28" s="123">
        <v>8</v>
      </c>
      <c r="M28" s="124"/>
      <c r="N28" s="124"/>
      <c r="O28" s="125">
        <f>IFERROR(VLOOKUP(M28,Tabla13151617192021[[PILOTOS]:[PTOS.]],2,0),0)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IFERROR(VLOOKUP(Tabla13151617192021[[#This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IFERROR(VLOOKUP(Tabla13151617192021[[#This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IFERROR(VLOOKUP(Tabla13151617192021[[#This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IFERROR(VLOOKUP(H31,Tabla13151617192021[[PILOTOS]:[PTOS.]],2,0),0)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IFERROR(VLOOKUP(Tabla13151617192021[[#This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IFERROR(VLOOKUP(H32,Tabla13151617192021[[PILOTOS]:[PTOS.]],2,0),0)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IFERROR(VLOOKUP(Tabla13151617192021[[#This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IFERROR(VLOOKUP(H33,Tabla13151617192021[[PILOTOS]:[PTOS.]],2,0),0)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IFERROR(VLOOKUP(Tabla13151617192021[[#This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IFERROR(VLOOKUP(H34,Tabla13151617192021[[PILOTOS]:[PTOS.]],2,0),0)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IFERROR(VLOOKUP(Tabla13151617192021[[#This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IFERROR(VLOOKUP(H35,Tabla13151617192021[[PILOTOS]:[PTOS.]],2,0),0)</f>
        <v>0</v>
      </c>
      <c r="K35" s="127"/>
    </row>
    <row r="36" spans="2:11" x14ac:dyDescent="0.25">
      <c r="B36" s="123">
        <f>+B35+1</f>
        <v>29</v>
      </c>
      <c r="C36" s="124"/>
      <c r="D36" s="125">
        <f>IFERROR(VLOOKUP(Tabla13151617192021[[#This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IFERROR(VLOOKUP(H36,Tabla13151617192021[[PILOTOS]:[PTOS.]],2,0),0)</f>
        <v>0</v>
      </c>
      <c r="K36" s="127"/>
    </row>
    <row r="37" spans="2:11" x14ac:dyDescent="0.25">
      <c r="B37" s="123">
        <f>+B36+1</f>
        <v>30</v>
      </c>
      <c r="C37" s="124"/>
      <c r="D37" s="125">
        <f>IFERROR(VLOOKUP(Tabla13151617192021[[#This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IFERROR(VLOOKUP(H37,Tabla13151617192021[[PILOTOS]:[PTOS.]],2,0),0)</f>
        <v>0</v>
      </c>
      <c r="K37" s="128"/>
    </row>
    <row r="38" spans="2:11" x14ac:dyDescent="0.25">
      <c r="B38" s="123">
        <f>+B37+1</f>
        <v>31</v>
      </c>
      <c r="C38" s="124"/>
      <c r="D38" s="125">
        <f>IFERROR(VLOOKUP(Tabla13151617192021[[#This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IFERROR(VLOOKUP(H38,Tabla13151617192021[[PILOTOS]:[PTOS.]],2,0),0)</f>
        <v>0</v>
      </c>
      <c r="K38" s="128"/>
    </row>
    <row r="39" spans="2:11" x14ac:dyDescent="0.25">
      <c r="B39" s="123">
        <f>+B38+1</f>
        <v>32</v>
      </c>
      <c r="C39" s="124"/>
      <c r="D39" s="125">
        <f>IFERROR(VLOOKUP(Tabla13151617192021[[#This Row],[PILOTOS]],Clasificación_General!C34:H74,6,0),0)</f>
        <v>0</v>
      </c>
      <c r="E39" s="120"/>
      <c r="K39" s="127"/>
    </row>
    <row r="40" spans="2:11" x14ac:dyDescent="0.25">
      <c r="B40" s="123">
        <f>+B39+1</f>
        <v>33</v>
      </c>
      <c r="C40" s="124"/>
      <c r="D40" s="125">
        <f>IFERROR(VLOOKUP(Tabla13151617192021[[#This Row],[PILOTOS]],Clasificación_General!C35:H75,6,0),0)</f>
        <v>0</v>
      </c>
      <c r="E40" s="120"/>
      <c r="K40" s="128"/>
    </row>
    <row r="41" spans="2:11" x14ac:dyDescent="0.25">
      <c r="B41" s="123">
        <f>+B40+1</f>
        <v>34</v>
      </c>
      <c r="C41" s="124"/>
      <c r="D41" s="125">
        <f>IFERROR(VLOOKUP(Tabla13151617192021[[#This Row],[PILOTOS]],Clasificación_General!C36:H76,6,0),0)</f>
        <v>0</v>
      </c>
      <c r="E41" s="120"/>
      <c r="K41" s="127"/>
    </row>
    <row r="42" spans="2:11" x14ac:dyDescent="0.25">
      <c r="B42" s="123">
        <f>+B41+1</f>
        <v>35</v>
      </c>
      <c r="C42" s="124"/>
      <c r="D42" s="125">
        <f>IFERROR(VLOOKUP(Tabla13151617192021[[#This Row],[PILOTOS]],Clasificación_General!C37:H77,6,0),0)</f>
        <v>0</v>
      </c>
      <c r="E42" s="120"/>
      <c r="K42" s="127"/>
    </row>
    <row r="43" spans="2:11" x14ac:dyDescent="0.25">
      <c r="B43" s="123">
        <f>+B42+1</f>
        <v>36</v>
      </c>
      <c r="C43" s="124"/>
      <c r="D43" s="125">
        <f>IFERROR(VLOOKUP(Tabla13151617192021[[#This Row],[PILOTOS]],Clasificación_General!C38:H78,6,0),0)</f>
        <v>0</v>
      </c>
      <c r="E43" s="120"/>
      <c r="K43" s="127"/>
    </row>
    <row r="44" spans="2:11" x14ac:dyDescent="0.25">
      <c r="B44" s="123">
        <f>+B43+1</f>
        <v>37</v>
      </c>
      <c r="C44" s="124"/>
      <c r="D44" s="125">
        <f>IFERROR(VLOOKUP(Tabla13151617192021[[#This Row],[PILOTOS]],Clasificación_General!C39:H79,6,0),0)</f>
        <v>0</v>
      </c>
      <c r="E44" s="120"/>
      <c r="K44" s="127"/>
    </row>
    <row r="45" spans="2:11" x14ac:dyDescent="0.25">
      <c r="B45" s="123">
        <f>+B44+1</f>
        <v>38</v>
      </c>
      <c r="C45" s="124"/>
      <c r="D45" s="125">
        <f>IFERROR(VLOOKUP(Tabla13151617192021[[#This Row],[PILOTOS]],Clasificación_General!C40:H80,6,0),0)</f>
        <v>0</v>
      </c>
      <c r="E45" s="120"/>
      <c r="K45" s="127"/>
    </row>
    <row r="46" spans="2:11" x14ac:dyDescent="0.25">
      <c r="B46" s="123">
        <f>+B45+1</f>
        <v>39</v>
      </c>
      <c r="C46" s="124"/>
      <c r="D46" s="125">
        <f>IFERROR(VLOOKUP(Tabla13151617192021[[#This Row],[PILOTOS]],Clasificación_General!C41:H81,6,0),0)</f>
        <v>0</v>
      </c>
      <c r="E46" s="120"/>
      <c r="K46" s="127"/>
    </row>
    <row r="47" spans="2:11" x14ac:dyDescent="0.25">
      <c r="B47" s="123">
        <f>+B46+1</f>
        <v>40</v>
      </c>
      <c r="C47" s="124"/>
      <c r="D47" s="125">
        <f>IFERROR(VLOOKUP(Tabla13151617192021[[#This Row],[PILOTOS]],Clasificación_General!C42:H82,6,0),0)</f>
        <v>0</v>
      </c>
      <c r="E47" s="120"/>
      <c r="K47" s="127"/>
    </row>
    <row r="48" spans="2:11" x14ac:dyDescent="0.25">
      <c r="B48" s="123">
        <f>+B47+1</f>
        <v>41</v>
      </c>
      <c r="C48" s="124"/>
      <c r="D48" s="125">
        <f>IFERROR(VLOOKUP(Tabla13151617192021[[#This Row],[PILOTOS]],Clasificación_General!C43:H83,6,0),0)</f>
        <v>0</v>
      </c>
      <c r="E48" s="120"/>
      <c r="K48" s="128"/>
    </row>
    <row r="49" spans="2:11" x14ac:dyDescent="0.25">
      <c r="B49" s="123">
        <f>+B48+1</f>
        <v>42</v>
      </c>
      <c r="C49" s="124"/>
      <c r="D49" s="125">
        <f>IFERROR(VLOOKUP(Tabla13151617192021[[#This Row],[PILOTOS]],Clasificación_General!C44:H84,6,0),0)</f>
        <v>0</v>
      </c>
      <c r="E49" s="120"/>
      <c r="K49" s="128"/>
    </row>
    <row r="50" spans="2:11" x14ac:dyDescent="0.25">
      <c r="B50" s="123">
        <f>+B49+1</f>
        <v>43</v>
      </c>
      <c r="C50" s="124"/>
      <c r="D50" s="125">
        <f>IFERROR(VLOOKUP(Tabla13151617192021[[#This Row],[PILOTOS]],Clasificación_General!C45:H85,6,0),0)</f>
        <v>0</v>
      </c>
      <c r="E50" s="120"/>
    </row>
    <row r="51" spans="2:11" x14ac:dyDescent="0.25">
      <c r="B51" s="123">
        <f>+B50+1</f>
        <v>44</v>
      </c>
      <c r="C51" s="124"/>
      <c r="D51" s="125">
        <f>IFERROR(VLOOKUP(Tabla13151617192021[[#This Row],[PILOTOS]],Clasificación_General!C46:H86,6,0),0)</f>
        <v>0</v>
      </c>
      <c r="E51" s="120"/>
    </row>
    <row r="52" spans="2:11" x14ac:dyDescent="0.25">
      <c r="B52" s="123">
        <f>+B51+1</f>
        <v>45</v>
      </c>
      <c r="C52" s="124"/>
      <c r="D52" s="125">
        <f>IFERROR(VLOOKUP(Tabla13151617192021[[#This Row],[PILOTOS]],Clasificación_General!C47:H87,6,0),0)</f>
        <v>0</v>
      </c>
      <c r="E52" s="120"/>
    </row>
    <row r="53" spans="2:11" x14ac:dyDescent="0.25">
      <c r="B53" s="123">
        <f>+B52+1</f>
        <v>46</v>
      </c>
      <c r="C53" s="124"/>
      <c r="D53" s="125">
        <f>IFERROR(VLOOKUP(Tabla13151617192021[[#This Row],[PILOTOS]],Clasificación_General!C48:H88,6,0),0)</f>
        <v>0</v>
      </c>
      <c r="E53" s="120"/>
    </row>
    <row r="54" spans="2:11" x14ac:dyDescent="0.25">
      <c r="B54" s="123">
        <f>+B53+1</f>
        <v>47</v>
      </c>
      <c r="C54" s="124"/>
      <c r="D54" s="125">
        <f>IFERROR(VLOOKUP(Tabla13151617192021[[#This Row],[PILOTOS]],Clasificación_General!C49:H89,6,0),0)</f>
        <v>0</v>
      </c>
      <c r="E54" s="120"/>
    </row>
    <row r="55" spans="2:11" x14ac:dyDescent="0.25">
      <c r="B55" s="123">
        <f>+B54+1</f>
        <v>48</v>
      </c>
      <c r="C55" s="124"/>
      <c r="D55" s="125">
        <f>IFERROR(VLOOKUP(Tabla13151617192021[[#This Row],[PILOTOS]],Clasificación_General!C50:H90,6,0),0)</f>
        <v>0</v>
      </c>
      <c r="E55" s="120"/>
    </row>
    <row r="56" spans="2:11" x14ac:dyDescent="0.25">
      <c r="B56" s="123">
        <f>+B55+1</f>
        <v>49</v>
      </c>
      <c r="C56" s="124"/>
      <c r="D56" s="125">
        <f>IFERROR(VLOOKUP(Tabla13151617192021[[#This Row],[PILOTOS]],Clasificación_General!C51:H91,6,0),0)</f>
        <v>0</v>
      </c>
      <c r="E56" s="120"/>
    </row>
    <row r="57" spans="2:11" x14ac:dyDescent="0.25">
      <c r="B57" s="123">
        <f>+B56+1</f>
        <v>50</v>
      </c>
      <c r="C57" s="124"/>
      <c r="D57" s="125">
        <f>IFERROR(VLOOKUP(Tabla13151617192021[[#This Row],[PILOTOS]],Clasificación_General!C52:H92,6,0),0)</f>
        <v>0</v>
      </c>
      <c r="E57" s="120"/>
    </row>
    <row r="58" spans="2:11" x14ac:dyDescent="0.25">
      <c r="B58" s="123">
        <f>+B57+1</f>
        <v>51</v>
      </c>
      <c r="C58" s="124"/>
      <c r="D58" s="125">
        <f>IFERROR(VLOOKUP(Tabla13151617192021[[#This Row],[PILOTOS]],Clasificación_General!C53:H93,6,0),0)</f>
        <v>0</v>
      </c>
      <c r="E58" s="120"/>
    </row>
    <row r="59" spans="2:11" x14ac:dyDescent="0.25">
      <c r="B59" s="123">
        <f>+B58+1</f>
        <v>52</v>
      </c>
      <c r="C59" s="124"/>
      <c r="D59" s="125">
        <f>IFERROR(VLOOKUP(Tabla13151617192021[[#This Row],[PILOTOS]],Clasificación_General!C54:H94,6,0),0)</f>
        <v>0</v>
      </c>
      <c r="E59" s="120"/>
    </row>
    <row r="60" spans="2:11" x14ac:dyDescent="0.25">
      <c r="B60" s="123">
        <f>+B59+1</f>
        <v>53</v>
      </c>
      <c r="C60" s="124"/>
      <c r="D60" s="125">
        <f>IFERROR(VLOOKUP(Tabla13151617192021[[#This Row],[PILOTOS]],Clasificación_General!C55:H95,6,0),0)</f>
        <v>0</v>
      </c>
      <c r="E60" s="120"/>
    </row>
    <row r="61" spans="2:11" x14ac:dyDescent="0.25">
      <c r="B61" s="123">
        <f>+B60+1</f>
        <v>54</v>
      </c>
      <c r="C61" s="124"/>
      <c r="D61" s="125">
        <f>IFERROR(VLOOKUP(Tabla13151617192021[[#This Row],[PILOTOS]],Clasificación_General!C56:H96,6,0),0)</f>
        <v>0</v>
      </c>
      <c r="E61" s="120"/>
    </row>
  </sheetData>
  <autoFilter ref="H7:J15" xr:uid="{4A69056F-EA3D-4580-8A75-F7FF387BA112}"/>
  <mergeCells count="5">
    <mergeCell ref="G4:O4"/>
    <mergeCell ref="B5:E5"/>
    <mergeCell ref="G5:O5"/>
    <mergeCell ref="G17:O17"/>
    <mergeCell ref="G18:O18"/>
  </mergeCells>
  <dataValidations count="1">
    <dataValidation type="list" allowBlank="1" showInputMessage="1" showErrorMessage="1" sqref="M21:M28 H21:H28 M8:M15 H8:H15 H31:H38" xr:uid="{29ABEFBD-A9D3-4830-9807-2CFAB002A799}">
      <formula1>$C$8:$C$35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23B9A2C-ABC4-4043-8B5C-61F27DEEA707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B2FE0B7A-D6AD-47D7-B8CC-3D5B1B55F811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951728F5-457D-4F39-B335-F9AB98F6F87A}">
          <x14:formula1>
            <xm:f>'Listado Pilotos'!$B$3:$B$150</xm:f>
          </x14:formula1>
          <xm:sqref>C8:C14 C16:C61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FA9-410C-4F81-9F16-1BE1E5A22BE2}">
  <dimension ref="B1:T65"/>
  <sheetViews>
    <sheetView zoomScaleNormal="100" workbookViewId="0">
      <selection activeCell="B4" sqref="B4:T4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 t="s">
        <v>411</v>
      </c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 t="s">
        <v>411</v>
      </c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 t="s">
        <v>411</v>
      </c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 t="s">
        <v>411</v>
      </c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 t="s">
        <v>411</v>
      </c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 t="s">
        <v>411</v>
      </c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 t="s">
        <v>411</v>
      </c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 t="s">
        <v>411</v>
      </c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 t="s">
        <v>411</v>
      </c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 t="s">
        <v>411</v>
      </c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 t="s">
        <v>411</v>
      </c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 t="s">
        <v>411</v>
      </c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 t="s">
        <v>411</v>
      </c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 t="s">
        <v>411</v>
      </c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 t="s">
        <v>411</v>
      </c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 t="s">
        <v>411</v>
      </c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 t="s">
        <v>411</v>
      </c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 t="s">
        <v>411</v>
      </c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 t="s">
        <v>411</v>
      </c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 t="s">
        <v>411</v>
      </c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 t="s">
        <v>411</v>
      </c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 t="s">
        <v>411</v>
      </c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 t="s">
        <v>411</v>
      </c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 t="s">
        <v>411</v>
      </c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 t="s">
        <v>411</v>
      </c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 t="s">
        <v>411</v>
      </c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 t="s">
        <v>411</v>
      </c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 t="s">
        <v>411</v>
      </c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 t="s">
        <v>411</v>
      </c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 t="s">
        <v>411</v>
      </c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 t="s">
        <v>411</v>
      </c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 t="s">
        <v>411</v>
      </c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 t="s">
        <v>411</v>
      </c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 t="s">
        <v>411</v>
      </c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 t="s">
        <v>411</v>
      </c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 t="s">
        <v>411</v>
      </c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 t="s">
        <v>411</v>
      </c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 t="s">
        <v>411</v>
      </c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 t="s">
        <v>411</v>
      </c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 t="s">
        <v>411</v>
      </c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 t="s">
        <v>411</v>
      </c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 t="s">
        <v>411</v>
      </c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 t="s">
        <v>411</v>
      </c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 t="s">
        <v>411</v>
      </c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s="79" customFormat="1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s="79" customFormat="1" x14ac:dyDescent="0.15">
      <c r="C58" s="96"/>
      <c r="H58" s="88"/>
      <c r="M58" s="81"/>
      <c r="N58" s="81"/>
    </row>
    <row r="59" spans="2:20" s="79" customFormat="1" x14ac:dyDescent="0.15">
      <c r="C59" s="96"/>
      <c r="H59" s="88"/>
      <c r="M59" s="81"/>
      <c r="N59" s="81"/>
    </row>
    <row r="60" spans="2:20" s="79" customFormat="1" x14ac:dyDescent="0.15">
      <c r="C60" s="96"/>
      <c r="H60" s="88"/>
      <c r="M60" s="81"/>
      <c r="N60" s="81"/>
    </row>
    <row r="61" spans="2:20" s="79" customFormat="1" x14ac:dyDescent="0.15">
      <c r="C61" s="96"/>
      <c r="H61" s="88"/>
      <c r="M61" s="81"/>
      <c r="N61" s="81"/>
    </row>
    <row r="62" spans="2:20" s="79" customFormat="1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s="79" customFormat="1" x14ac:dyDescent="0.15">
      <c r="B63" s="85" t="s">
        <v>446</v>
      </c>
      <c r="C63" s="86"/>
      <c r="D63" s="87"/>
      <c r="M63" s="81"/>
      <c r="N63" s="81"/>
    </row>
    <row r="64" spans="2:20" s="79" customFormat="1" x14ac:dyDescent="0.15">
      <c r="H64" s="88"/>
      <c r="M64" s="81"/>
      <c r="N64" s="81"/>
    </row>
    <row r="65" spans="2:20" s="79" customFormat="1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0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8861D34-6C7C-4885-AED2-72FE468D4F0B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2C54B767-7AB4-4496-9099-57769806B511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ED473C36-1477-4C58-9B1D-C374F093BFE0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55C26AB2-B7C7-43E0-8CB9-D0C672B4F416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4F408366-41C5-4F15-A1FC-0CAF020B527B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0DE605E6-869C-4409-BB4C-5E9D0B9E63ED}">
          <x14:formula1>
            <xm:f>Inscritos_Mangas_S4Y!$C$8:$C$61</xm:f>
          </x14:formula1>
          <xm:sqref>C11:C54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CADD-2323-47C7-8C44-56EFDB770323}">
  <dimension ref="B2:L153"/>
  <sheetViews>
    <sheetView topLeftCell="A9" workbookViewId="0">
      <selection activeCell="B13" sqref="B13"/>
    </sheetView>
  </sheetViews>
  <sheetFormatPr baseColWidth="10" defaultRowHeight="15" x14ac:dyDescent="0.25"/>
  <cols>
    <col min="2" max="2" width="20.7109375" style="41" bestFit="1" customWidth="1"/>
    <col min="3" max="3" width="31.5703125" style="41" bestFit="1" customWidth="1"/>
    <col min="4" max="4" width="15.28515625" style="43" bestFit="1" customWidth="1"/>
    <col min="5" max="5" width="6.42578125" customWidth="1"/>
    <col min="6" max="6" width="12.85546875" style="41" hidden="1" customWidth="1"/>
    <col min="7" max="7" width="14.7109375" style="41" hidden="1" customWidth="1"/>
    <col min="8" max="8" width="16.28515625" style="41" hidden="1" customWidth="1"/>
    <col min="9" max="9" width="15.42578125" style="41" hidden="1" customWidth="1"/>
    <col min="10" max="10" width="16.28515625" style="41" hidden="1" customWidth="1"/>
    <col min="11" max="11" width="15.85546875" style="41" hidden="1" customWidth="1"/>
    <col min="12" max="12" width="11.42578125" style="41" hidden="1" customWidth="1"/>
  </cols>
  <sheetData>
    <row r="2" spans="2:12" x14ac:dyDescent="0.25">
      <c r="B2" s="44" t="s">
        <v>248</v>
      </c>
      <c r="C2" s="44" t="s">
        <v>228</v>
      </c>
      <c r="D2" s="52" t="s">
        <v>247</v>
      </c>
      <c r="F2" s="41" t="s">
        <v>255</v>
      </c>
      <c r="G2" s="41" t="s">
        <v>251</v>
      </c>
      <c r="H2" s="41" t="s">
        <v>250</v>
      </c>
      <c r="I2" s="41" t="s">
        <v>252</v>
      </c>
      <c r="J2" s="41" t="s">
        <v>249</v>
      </c>
      <c r="K2" s="41" t="s">
        <v>208</v>
      </c>
      <c r="L2" s="41" t="s">
        <v>207</v>
      </c>
    </row>
    <row r="3" spans="2:12" x14ac:dyDescent="0.25">
      <c r="B3" s="45" t="s">
        <v>266</v>
      </c>
      <c r="C3" s="47" t="s">
        <v>246</v>
      </c>
      <c r="D3" s="43" t="str">
        <f>VLOOKUP(C3,Tabla_de_Datos_GENERALES!$B$9:$C$21,2,0)</f>
        <v>Bronce</v>
      </c>
      <c r="F3" s="41" t="s">
        <v>253</v>
      </c>
      <c r="G3" s="41" t="s">
        <v>235</v>
      </c>
      <c r="H3" s="48" t="str">
        <f>VLOOKUP(G3,Tabla6[],3,)</f>
        <v>Plata</v>
      </c>
      <c r="I3" s="41" t="s">
        <v>151</v>
      </c>
      <c r="J3" s="48" t="str">
        <f>VLOOKUP(I3,Tabla6[],3,)</f>
        <v>Plata</v>
      </c>
      <c r="K3" s="41" t="s">
        <v>448</v>
      </c>
    </row>
    <row r="4" spans="2:12" x14ac:dyDescent="0.25">
      <c r="B4" s="45" t="s">
        <v>77</v>
      </c>
      <c r="C4" s="46" t="s">
        <v>261</v>
      </c>
      <c r="D4" s="43" t="str">
        <f>VLOOKUP(C4,Tabla_de_Datos_GENERALES!$B$9:$C$21,2,0)</f>
        <v>Oro</v>
      </c>
      <c r="F4" s="41" t="s">
        <v>254</v>
      </c>
      <c r="G4" s="41" t="s">
        <v>68</v>
      </c>
      <c r="H4" s="49" t="str">
        <f>VLOOKUP(G4,Tabla6[],3,)</f>
        <v>Oro</v>
      </c>
      <c r="I4" s="41" t="s">
        <v>216</v>
      </c>
      <c r="J4" s="49" t="str">
        <f>VLOOKUP(I4,Tabla6[],3,)</f>
        <v>Oro</v>
      </c>
      <c r="K4" s="41" t="s">
        <v>448</v>
      </c>
    </row>
    <row r="5" spans="2:12" x14ac:dyDescent="0.25">
      <c r="B5" s="45" t="s">
        <v>267</v>
      </c>
      <c r="C5" s="47" t="s">
        <v>246</v>
      </c>
      <c r="D5" s="43" t="str">
        <f>VLOOKUP(C5,Tabla_de_Datos_GENERALES!$B$9:$C$21,2,0)</f>
        <v>Bronce</v>
      </c>
      <c r="F5" s="41" t="s">
        <v>488</v>
      </c>
      <c r="G5" s="41" t="s">
        <v>82</v>
      </c>
      <c r="H5" s="48" t="str">
        <f>VLOOKUP(G5,Tabla6[],3,)</f>
        <v>Plata</v>
      </c>
      <c r="I5" s="41" t="s">
        <v>298</v>
      </c>
      <c r="J5" s="129" t="str">
        <f>VLOOKUP(I5,Tabla6[],3,)</f>
        <v>Bronce</v>
      </c>
      <c r="K5" s="41" t="s">
        <v>174</v>
      </c>
    </row>
    <row r="6" spans="2:12" x14ac:dyDescent="0.25">
      <c r="B6" s="45" t="s">
        <v>230</v>
      </c>
      <c r="C6" s="46" t="s">
        <v>263</v>
      </c>
      <c r="D6" s="43" t="str">
        <f>VLOOKUP(C6,Tabla_de_Datos_GENERALES!$B$9:$C$21,2,0)</f>
        <v>Plata</v>
      </c>
      <c r="F6" s="41" t="s">
        <v>494</v>
      </c>
      <c r="G6" s="41" t="s">
        <v>304</v>
      </c>
      <c r="H6" s="129" t="str">
        <f>VLOOKUP(G6,Tabla6[],3,)</f>
        <v>Bronce</v>
      </c>
      <c r="I6" s="41" t="s">
        <v>278</v>
      </c>
      <c r="J6" s="129" t="str">
        <f>VLOOKUP(I6,Tabla6[],3,)</f>
        <v>Bronce</v>
      </c>
      <c r="K6" s="41" t="s">
        <v>223</v>
      </c>
    </row>
    <row r="7" spans="2:12" x14ac:dyDescent="0.25">
      <c r="B7" s="45" t="s">
        <v>268</v>
      </c>
      <c r="C7" s="47" t="s">
        <v>246</v>
      </c>
      <c r="D7" s="43" t="str">
        <f>VLOOKUP(C7,Tabla_de_Datos_GENERALES!$B$9:$C$21,2,0)</f>
        <v>Bronce</v>
      </c>
      <c r="H7" s="47" t="e">
        <f>VLOOKUP(G7,Tabla6[],3,)</f>
        <v>#N/A</v>
      </c>
      <c r="J7" s="47" t="e">
        <f>VLOOKUP(I7,Tabla6[],3,)</f>
        <v>#N/A</v>
      </c>
    </row>
    <row r="8" spans="2:12" x14ac:dyDescent="0.25">
      <c r="B8" s="45" t="s">
        <v>269</v>
      </c>
      <c r="C8" s="47" t="s">
        <v>246</v>
      </c>
      <c r="D8" s="43" t="str">
        <f>VLOOKUP(C8,Tabla_de_Datos_GENERALES!$B$9:$C$21,2,0)</f>
        <v>Bronce</v>
      </c>
      <c r="H8" s="47" t="e">
        <f>VLOOKUP(G8,Tabla6[],3,)</f>
        <v>#N/A</v>
      </c>
      <c r="J8" s="47" t="e">
        <f>VLOOKUP(I8,Tabla6[],3,)</f>
        <v>#N/A</v>
      </c>
    </row>
    <row r="9" spans="2:12" x14ac:dyDescent="0.25">
      <c r="B9" s="135" t="s">
        <v>575</v>
      </c>
      <c r="C9" s="47" t="s">
        <v>246</v>
      </c>
      <c r="D9" s="43" t="str">
        <f>VLOOKUP(C9,Tabla_de_Datos_GENERALES!$B$9:$C$21,2,2)</f>
        <v>Oro</v>
      </c>
      <c r="H9" s="47" t="e">
        <f>VLOOKUP(G9,Tabla6[],3,)</f>
        <v>#N/A</v>
      </c>
      <c r="J9" s="47" t="e">
        <f>VLOOKUP(I9,Tabla6[],3,)</f>
        <v>#N/A</v>
      </c>
    </row>
    <row r="10" spans="2:12" x14ac:dyDescent="0.25">
      <c r="B10" s="45" t="s">
        <v>158</v>
      </c>
      <c r="C10" s="46" t="s">
        <v>265</v>
      </c>
      <c r="D10" s="43" t="str">
        <f>VLOOKUP(C10,Tabla_de_Datos_GENERALES!$B$9:$C$21,2,0)</f>
        <v>Plata</v>
      </c>
      <c r="H10" s="47" t="e">
        <f>VLOOKUP(G10,Tabla6[],3,)</f>
        <v>#N/A</v>
      </c>
      <c r="J10" s="47" t="e">
        <f>VLOOKUP(I10,Tabla6[],3,)</f>
        <v>#N/A</v>
      </c>
    </row>
    <row r="11" spans="2:12" x14ac:dyDescent="0.25">
      <c r="B11" s="45" t="s">
        <v>73</v>
      </c>
      <c r="C11" s="46" t="s">
        <v>262</v>
      </c>
      <c r="D11" s="43" t="str">
        <f>VLOOKUP(C11,Tabla_de_Datos_GENERALES!$B$9:$C$21,2,0)</f>
        <v>Plata</v>
      </c>
      <c r="H11" s="47" t="e">
        <f>VLOOKUP(G11,Tabla6[],3,)</f>
        <v>#N/A</v>
      </c>
      <c r="J11" s="47" t="e">
        <f>VLOOKUP(I11,Tabla6[],3,)</f>
        <v>#N/A</v>
      </c>
    </row>
    <row r="12" spans="2:12" x14ac:dyDescent="0.25">
      <c r="B12" s="45" t="s">
        <v>578</v>
      </c>
      <c r="C12" s="46" t="s">
        <v>263</v>
      </c>
      <c r="D12" s="43" t="str">
        <f>VLOOKUP(C12,Tabla_de_Datos_GENERALES!$B$9:$C$21,2,0)</f>
        <v>Plata</v>
      </c>
      <c r="H12" s="47" t="e">
        <f>VLOOKUP(G12,Tabla6[],3,)</f>
        <v>#N/A</v>
      </c>
      <c r="J12" s="47" t="e">
        <f>VLOOKUP(I12,Tabla6[],3,)</f>
        <v>#N/A</v>
      </c>
    </row>
    <row r="13" spans="2:12" x14ac:dyDescent="0.25">
      <c r="B13" s="45" t="s">
        <v>216</v>
      </c>
      <c r="C13" s="46" t="s">
        <v>122</v>
      </c>
      <c r="D13" s="43" t="str">
        <f>VLOOKUP(C13,Tabla_de_Datos_GENERALES!$B$9:$C$21,2,0)</f>
        <v>Oro</v>
      </c>
      <c r="H13" s="47" t="e">
        <f>VLOOKUP(G13,Tabla6[],3,)</f>
        <v>#N/A</v>
      </c>
      <c r="J13" s="47" t="e">
        <f>VLOOKUP(I13,Tabla6[],3,)</f>
        <v>#N/A</v>
      </c>
    </row>
    <row r="14" spans="2:12" x14ac:dyDescent="0.25">
      <c r="B14" s="45" t="s">
        <v>82</v>
      </c>
      <c r="C14" s="46" t="s">
        <v>264</v>
      </c>
      <c r="D14" s="43" t="str">
        <f>VLOOKUP(C14,Tabla_de_Datos_GENERALES!$B$9:$C$21,2,0)</f>
        <v>Plata</v>
      </c>
      <c r="H14" s="47" t="e">
        <f>VLOOKUP(G14,Tabla6[],3,)</f>
        <v>#N/A</v>
      </c>
      <c r="J14" s="47" t="e">
        <f>VLOOKUP(I14,Tabla6[],3,)</f>
        <v>#N/A</v>
      </c>
    </row>
    <row r="15" spans="2:12" x14ac:dyDescent="0.25">
      <c r="B15" s="45" t="s">
        <v>209</v>
      </c>
      <c r="C15" s="46" t="s">
        <v>258</v>
      </c>
      <c r="D15" s="43" t="str">
        <f>VLOOKUP(C15,Tabla_de_Datos_GENERALES!$B$9:$C$21,2,0)</f>
        <v>Platino</v>
      </c>
      <c r="H15" s="47" t="e">
        <f>VLOOKUP(G15,Tabla6[],3,)</f>
        <v>#N/A</v>
      </c>
      <c r="J15" s="47" t="e">
        <f>VLOOKUP(I15,Tabla6[],3,)</f>
        <v>#N/A</v>
      </c>
    </row>
    <row r="16" spans="2:12" x14ac:dyDescent="0.25">
      <c r="B16" s="45" t="s">
        <v>210</v>
      </c>
      <c r="C16" s="46" t="s">
        <v>258</v>
      </c>
      <c r="D16" s="43" t="str">
        <f>VLOOKUP(C16,Tabla_de_Datos_GENERALES!$B$9:$C$21,2,0)</f>
        <v>Platino</v>
      </c>
      <c r="H16" s="47" t="e">
        <f>VLOOKUP(G16,Tabla6[],3,)</f>
        <v>#N/A</v>
      </c>
      <c r="J16" s="47" t="e">
        <f>VLOOKUP(I16,Tabla6[],3,)</f>
        <v>#N/A</v>
      </c>
    </row>
    <row r="17" spans="2:10" x14ac:dyDescent="0.25">
      <c r="B17" s="45" t="s">
        <v>270</v>
      </c>
      <c r="C17" s="47" t="s">
        <v>246</v>
      </c>
      <c r="D17" s="43" t="str">
        <f>VLOOKUP(C17,Tabla_de_Datos_GENERALES!$B$9:$C$21,2,0)</f>
        <v>Bronce</v>
      </c>
      <c r="H17" s="47" t="e">
        <f>VLOOKUP(G17,Tabla6[],3,)</f>
        <v>#N/A</v>
      </c>
      <c r="J17" s="47" t="e">
        <f>VLOOKUP(I17,Tabla6[],3,)</f>
        <v>#N/A</v>
      </c>
    </row>
    <row r="18" spans="2:10" x14ac:dyDescent="0.25">
      <c r="B18" s="45" t="s">
        <v>54</v>
      </c>
      <c r="C18" s="46" t="s">
        <v>258</v>
      </c>
      <c r="D18" s="43" t="str">
        <f>VLOOKUP(C18,Tabla_de_Datos_GENERALES!$B$9:$C$21,2,0)</f>
        <v>Platino</v>
      </c>
      <c r="H18" s="47" t="e">
        <f>VLOOKUP(G18,Tabla6[],3,)</f>
        <v>#N/A</v>
      </c>
      <c r="J18" s="47" t="e">
        <f>VLOOKUP(I18,Tabla6[],3,)</f>
        <v>#N/A</v>
      </c>
    </row>
    <row r="19" spans="2:10" x14ac:dyDescent="0.25">
      <c r="B19" s="45" t="s">
        <v>105</v>
      </c>
      <c r="C19" s="46" t="s">
        <v>263</v>
      </c>
      <c r="D19" s="43" t="str">
        <f>VLOOKUP(C19,Tabla_de_Datos_GENERALES!$B$9:$C$21,2,0)</f>
        <v>Plata</v>
      </c>
      <c r="H19" s="47" t="e">
        <f>VLOOKUP(G19,Tabla6[],3,)</f>
        <v>#N/A</v>
      </c>
      <c r="J19" s="47" t="e">
        <f>VLOOKUP(I19,Tabla6[],3,)</f>
        <v>#N/A</v>
      </c>
    </row>
    <row r="20" spans="2:10" x14ac:dyDescent="0.25">
      <c r="B20" s="45" t="s">
        <v>44</v>
      </c>
      <c r="C20" s="46" t="s">
        <v>258</v>
      </c>
      <c r="D20" s="43" t="str">
        <f>VLOOKUP(C20,Tabla_de_Datos_GENERALES!$B$9:$C$21,2,0)</f>
        <v>Platino</v>
      </c>
      <c r="H20" s="47" t="e">
        <f>VLOOKUP(G20,Tabla6[],3,)</f>
        <v>#N/A</v>
      </c>
      <c r="J20" s="47" t="e">
        <f>VLOOKUP(I20,Tabla6[],3,)</f>
        <v>#N/A</v>
      </c>
    </row>
    <row r="21" spans="2:10" x14ac:dyDescent="0.25">
      <c r="B21" s="45" t="s">
        <v>92</v>
      </c>
      <c r="C21" s="46" t="s">
        <v>265</v>
      </c>
      <c r="D21" s="43" t="str">
        <f>VLOOKUP(C21,Tabla_de_Datos_GENERALES!$B$9:$C$21,2,0)</f>
        <v>Plata</v>
      </c>
      <c r="H21" s="47" t="e">
        <f>VLOOKUP(G21,Tabla6[],3,)</f>
        <v>#N/A</v>
      </c>
      <c r="J21" s="47" t="e">
        <f>VLOOKUP(I21,Tabla6[],3,)</f>
        <v>#N/A</v>
      </c>
    </row>
    <row r="22" spans="2:10" x14ac:dyDescent="0.25">
      <c r="B22" s="45" t="s">
        <v>271</v>
      </c>
      <c r="C22" s="47" t="s">
        <v>246</v>
      </c>
      <c r="D22" s="43" t="str">
        <f>VLOOKUP(C22,Tabla_de_Datos_GENERALES!$B$9:$C$21,2,0)</f>
        <v>Bronce</v>
      </c>
      <c r="H22" s="47" t="e">
        <f>VLOOKUP(G22,Tabla6[],3,)</f>
        <v>#N/A</v>
      </c>
      <c r="J22" s="47" t="e">
        <f>VLOOKUP(I22,Tabla6[],3,)</f>
        <v>#N/A</v>
      </c>
    </row>
    <row r="23" spans="2:10" x14ac:dyDescent="0.25">
      <c r="B23" s="45" t="s">
        <v>231</v>
      </c>
      <c r="C23" s="46" t="s">
        <v>264</v>
      </c>
      <c r="D23" s="43" t="str">
        <f>VLOOKUP(C23,Tabla_de_Datos_GENERALES!$B$9:$C$21,2,0)</f>
        <v>Plata</v>
      </c>
      <c r="H23" s="47" t="e">
        <f>VLOOKUP(G23,Tabla6[],3,)</f>
        <v>#N/A</v>
      </c>
      <c r="J23" s="47" t="e">
        <f>VLOOKUP(I23,Tabla6[],3,)</f>
        <v>#N/A</v>
      </c>
    </row>
    <row r="24" spans="2:10" x14ac:dyDescent="0.25">
      <c r="B24" s="45" t="s">
        <v>272</v>
      </c>
      <c r="C24" s="47" t="s">
        <v>246</v>
      </c>
      <c r="D24" s="43" t="str">
        <f>VLOOKUP(C24,Tabla_de_Datos_GENERALES!$B$9:$C$21,2,0)</f>
        <v>Bronce</v>
      </c>
      <c r="H24" s="47" t="e">
        <f>VLOOKUP(G24,Tabla6[],3,)</f>
        <v>#N/A</v>
      </c>
      <c r="J24" s="47" t="e">
        <f>VLOOKUP(I24,Tabla6[],3,)</f>
        <v>#N/A</v>
      </c>
    </row>
    <row r="25" spans="2:10" x14ac:dyDescent="0.25">
      <c r="B25" s="45" t="s">
        <v>273</v>
      </c>
      <c r="C25" s="47" t="s">
        <v>246</v>
      </c>
      <c r="D25" s="43" t="str">
        <f>VLOOKUP(C25,Tabla_de_Datos_GENERALES!$B$9:$C$21,2,0)</f>
        <v>Bronce</v>
      </c>
      <c r="H25" s="47" t="e">
        <f>VLOOKUP(G25,Tabla6[],3,)</f>
        <v>#N/A</v>
      </c>
      <c r="J25" s="47" t="e">
        <f>VLOOKUP(I25,Tabla6[],3,)</f>
        <v>#N/A</v>
      </c>
    </row>
    <row r="26" spans="2:10" x14ac:dyDescent="0.25">
      <c r="B26" s="45" t="s">
        <v>274</v>
      </c>
      <c r="C26" s="47" t="s">
        <v>246</v>
      </c>
      <c r="D26" s="43" t="str">
        <f>VLOOKUP(C26,Tabla_de_Datos_GENERALES!$B$9:$C$21,2,0)</f>
        <v>Bronce</v>
      </c>
      <c r="H26" s="47" t="e">
        <f>VLOOKUP(G26,Tabla6[],3,)</f>
        <v>#N/A</v>
      </c>
      <c r="J26" s="47" t="e">
        <f>VLOOKUP(I26,Tabla6[],3,)</f>
        <v>#N/A</v>
      </c>
    </row>
    <row r="27" spans="2:10" x14ac:dyDescent="0.25">
      <c r="B27" s="45" t="s">
        <v>109</v>
      </c>
      <c r="C27" s="46" t="s">
        <v>259</v>
      </c>
      <c r="D27" s="43" t="str">
        <f>VLOOKUP(C27,Tabla_de_Datos_GENERALES!$B$9:$C$21,2,0)</f>
        <v>Platino</v>
      </c>
      <c r="H27" s="47" t="e">
        <f>VLOOKUP(G27,Tabla6[],3,)</f>
        <v>#N/A</v>
      </c>
      <c r="J27" s="47" t="e">
        <f>VLOOKUP(I27,Tabla6[],3,)</f>
        <v>#N/A</v>
      </c>
    </row>
    <row r="28" spans="2:10" x14ac:dyDescent="0.25">
      <c r="B28" s="45" t="s">
        <v>88</v>
      </c>
      <c r="C28" s="46" t="s">
        <v>265</v>
      </c>
      <c r="D28" s="43" t="str">
        <f>VLOOKUP(C28,Tabla_de_Datos_GENERALES!$B$9:$C$21,2,0)</f>
        <v>Plata</v>
      </c>
      <c r="H28" s="47" t="e">
        <f>VLOOKUP(G28,Tabla6[],3,)</f>
        <v>#N/A</v>
      </c>
      <c r="J28" s="47" t="e">
        <f>VLOOKUP(I28,Tabla6[],3,)</f>
        <v>#N/A</v>
      </c>
    </row>
    <row r="29" spans="2:10" x14ac:dyDescent="0.25">
      <c r="B29" s="45" t="s">
        <v>49</v>
      </c>
      <c r="C29" s="46" t="s">
        <v>258</v>
      </c>
      <c r="D29" s="43" t="str">
        <f>VLOOKUP(C29,Tabla_de_Datos_GENERALES!$B$9:$C$21,2,0)</f>
        <v>Platino</v>
      </c>
      <c r="H29" s="47" t="e">
        <f>VLOOKUP(G29,Tabla6[],3,)</f>
        <v>#N/A</v>
      </c>
      <c r="J29" s="47" t="e">
        <f>VLOOKUP(I29,Tabla6[],3,)</f>
        <v>#N/A</v>
      </c>
    </row>
    <row r="30" spans="2:10" x14ac:dyDescent="0.25">
      <c r="B30" s="45" t="s">
        <v>74</v>
      </c>
      <c r="C30" s="46" t="s">
        <v>260</v>
      </c>
      <c r="D30" s="43" t="str">
        <f>VLOOKUP(C30,Tabla_de_Datos_GENERALES!$B$9:$C$21,2,0)</f>
        <v>Oro</v>
      </c>
      <c r="H30" s="47" t="e">
        <f>VLOOKUP(G30,Tabla6[],3,)</f>
        <v>#N/A</v>
      </c>
      <c r="J30" s="47" t="e">
        <f>VLOOKUP(I30,Tabla6[],3,)</f>
        <v>#N/A</v>
      </c>
    </row>
    <row r="31" spans="2:10" x14ac:dyDescent="0.25">
      <c r="B31" s="45" t="s">
        <v>275</v>
      </c>
      <c r="C31" s="47" t="s">
        <v>246</v>
      </c>
      <c r="D31" s="43" t="str">
        <f>VLOOKUP(C31,Tabla_de_Datos_GENERALES!$B$9:$C$21,2,0)</f>
        <v>Bronce</v>
      </c>
      <c r="H31" s="47" t="e">
        <f>VLOOKUP(G31,Tabla6[],3,)</f>
        <v>#N/A</v>
      </c>
      <c r="J31" s="47" t="e">
        <f>VLOOKUP(I31,Tabla6[],3,)</f>
        <v>#N/A</v>
      </c>
    </row>
    <row r="32" spans="2:10" x14ac:dyDescent="0.25">
      <c r="B32" s="45" t="s">
        <v>71</v>
      </c>
      <c r="C32" s="46" t="s">
        <v>261</v>
      </c>
      <c r="D32" s="43" t="str">
        <f>VLOOKUP(C32,Tabla_de_Datos_GENERALES!$B$9:$C$21,2,0)</f>
        <v>Oro</v>
      </c>
      <c r="H32" s="47" t="e">
        <f>VLOOKUP(G32,Tabla6[],3,)</f>
        <v>#N/A</v>
      </c>
      <c r="J32" s="47" t="e">
        <f>VLOOKUP(I32,Tabla6[],3,)</f>
        <v>#N/A</v>
      </c>
    </row>
    <row r="33" spans="2:10" x14ac:dyDescent="0.25">
      <c r="B33" s="45" t="s">
        <v>276</v>
      </c>
      <c r="C33" s="47" t="s">
        <v>246</v>
      </c>
      <c r="D33" s="43" t="str">
        <f>VLOOKUP(C33,Tabla_de_Datos_GENERALES!$B$9:$C$21,2,0)</f>
        <v>Bronce</v>
      </c>
      <c r="H33" s="47" t="e">
        <f>VLOOKUP(G33,Tabla6[],3,)</f>
        <v>#N/A</v>
      </c>
      <c r="J33" s="47" t="e">
        <f>VLOOKUP(I33,Tabla6[],3,)</f>
        <v>#N/A</v>
      </c>
    </row>
    <row r="34" spans="2:10" x14ac:dyDescent="0.25">
      <c r="B34" s="45" t="s">
        <v>59</v>
      </c>
      <c r="C34" s="46" t="s">
        <v>258</v>
      </c>
      <c r="D34" s="43" t="str">
        <f>VLOOKUP(C34,Tabla_de_Datos_GENERALES!$B$9:$C$21,2,0)</f>
        <v>Platino</v>
      </c>
      <c r="H34" s="47" t="e">
        <f>VLOOKUP(G34,Tabla6[],3,)</f>
        <v>#N/A</v>
      </c>
      <c r="J34" s="47" t="e">
        <f>VLOOKUP(I34,Tabla6[],3,)</f>
        <v>#N/A</v>
      </c>
    </row>
    <row r="35" spans="2:10" x14ac:dyDescent="0.25">
      <c r="B35" s="45" t="s">
        <v>277</v>
      </c>
      <c r="C35" s="47" t="s">
        <v>246</v>
      </c>
      <c r="D35" s="43" t="str">
        <f>VLOOKUP(C35,Tabla_de_Datos_GENERALES!$B$9:$C$21,2,0)</f>
        <v>Bronce</v>
      </c>
      <c r="H35" s="47" t="e">
        <f>VLOOKUP(G35,Tabla6[],3,)</f>
        <v>#N/A</v>
      </c>
      <c r="J35" s="47" t="e">
        <f>VLOOKUP(I35,Tabla6[],3,)</f>
        <v>#N/A</v>
      </c>
    </row>
    <row r="36" spans="2:10" x14ac:dyDescent="0.25">
      <c r="B36" s="45" t="s">
        <v>204</v>
      </c>
      <c r="C36" s="46" t="s">
        <v>123</v>
      </c>
      <c r="D36" s="43" t="str">
        <f>VLOOKUP(C36,Tabla_de_Datos_GENERALES!$B$9:$C$21,2,0)</f>
        <v>Plata</v>
      </c>
      <c r="H36" s="47" t="e">
        <f>VLOOKUP(G36,Tabla6[],3,)</f>
        <v>#N/A</v>
      </c>
      <c r="J36" s="47" t="e">
        <f>VLOOKUP(I36,Tabla6[],3,)</f>
        <v>#N/A</v>
      </c>
    </row>
    <row r="37" spans="2:10" x14ac:dyDescent="0.25">
      <c r="B37" s="45" t="s">
        <v>278</v>
      </c>
      <c r="C37" s="47" t="s">
        <v>246</v>
      </c>
      <c r="D37" s="43" t="str">
        <f>VLOOKUP(C37,Tabla_de_Datos_GENERALES!$B$9:$C$21,2,0)</f>
        <v>Bronce</v>
      </c>
      <c r="H37" s="47" t="e">
        <f>VLOOKUP(G37,Tabla6[],3,)</f>
        <v>#N/A</v>
      </c>
      <c r="J37" s="47" t="e">
        <f>VLOOKUP(I37,Tabla6[],3,)</f>
        <v>#N/A</v>
      </c>
    </row>
    <row r="38" spans="2:10" x14ac:dyDescent="0.25">
      <c r="B38" s="45" t="s">
        <v>279</v>
      </c>
      <c r="C38" s="47" t="s">
        <v>246</v>
      </c>
      <c r="D38" s="43" t="str">
        <f>VLOOKUP(C38,Tabla_de_Datos_GENERALES!$B$9:$C$21,2,0)</f>
        <v>Bronce</v>
      </c>
      <c r="H38" s="47" t="e">
        <f>VLOOKUP(G38,Tabla6[],3,)</f>
        <v>#N/A</v>
      </c>
      <c r="J38" s="47" t="e">
        <f>VLOOKUP(I38,Tabla6[],3,)</f>
        <v>#N/A</v>
      </c>
    </row>
    <row r="39" spans="2:10" x14ac:dyDescent="0.25">
      <c r="B39" s="45" t="s">
        <v>280</v>
      </c>
      <c r="C39" s="47" t="s">
        <v>246</v>
      </c>
      <c r="D39" s="43" t="str">
        <f>VLOOKUP(C39,Tabla_de_Datos_GENERALES!$B$9:$C$21,2,0)</f>
        <v>Bronce</v>
      </c>
      <c r="H39" s="47" t="e">
        <f>VLOOKUP(G39,Tabla6[],3,)</f>
        <v>#N/A</v>
      </c>
      <c r="J39" s="47" t="e">
        <f>VLOOKUP(I39,Tabla6[],3,)</f>
        <v>#N/A</v>
      </c>
    </row>
    <row r="40" spans="2:10" x14ac:dyDescent="0.25">
      <c r="B40" s="45" t="s">
        <v>52</v>
      </c>
      <c r="C40" s="46" t="s">
        <v>258</v>
      </c>
      <c r="D40" s="43" t="str">
        <f>VLOOKUP(C40,Tabla_de_Datos_GENERALES!$B$9:$C$21,2,0)</f>
        <v>Platino</v>
      </c>
      <c r="H40" s="47" t="e">
        <f>VLOOKUP(G40,Tabla6[],3,)</f>
        <v>#N/A</v>
      </c>
      <c r="J40" s="47" t="e">
        <f>VLOOKUP(I40,Tabla6[],3,)</f>
        <v>#N/A</v>
      </c>
    </row>
    <row r="41" spans="2:10" x14ac:dyDescent="0.25">
      <c r="B41" s="45" t="s">
        <v>217</v>
      </c>
      <c r="C41" s="46" t="s">
        <v>122</v>
      </c>
      <c r="D41" s="43" t="str">
        <f>VLOOKUP(C41,Tabla_de_Datos_GENERALES!$B$9:$C$21,2,0)</f>
        <v>Oro</v>
      </c>
      <c r="H41" s="47" t="e">
        <f>VLOOKUP(G41,Tabla6[],3,)</f>
        <v>#N/A</v>
      </c>
      <c r="J41" s="47" t="e">
        <f>VLOOKUP(I41,Tabla6[],3,)</f>
        <v>#N/A</v>
      </c>
    </row>
    <row r="42" spans="2:10" x14ac:dyDescent="0.25">
      <c r="B42" s="45" t="s">
        <v>203</v>
      </c>
      <c r="C42" s="46" t="s">
        <v>123</v>
      </c>
      <c r="D42" s="43" t="str">
        <f>VLOOKUP(C42,Tabla_de_Datos_GENERALES!$B$9:$C$21,2,0)</f>
        <v>Plata</v>
      </c>
      <c r="H42" s="47" t="e">
        <f>VLOOKUP(G42,Tabla6[],3,)</f>
        <v>#N/A</v>
      </c>
      <c r="J42" s="47" t="e">
        <f>VLOOKUP(I42,Tabla6[],3,)</f>
        <v>#N/A</v>
      </c>
    </row>
    <row r="43" spans="2:10" x14ac:dyDescent="0.25">
      <c r="B43" s="45" t="s">
        <v>281</v>
      </c>
      <c r="C43" s="47" t="s">
        <v>246</v>
      </c>
      <c r="D43" s="43" t="str">
        <f>VLOOKUP(C43,Tabla_de_Datos_GENERALES!$B$9:$C$21,2,0)</f>
        <v>Bronce</v>
      </c>
      <c r="H43" s="47" t="e">
        <f>VLOOKUP(G43,Tabla6[],3,)</f>
        <v>#N/A</v>
      </c>
      <c r="J43" s="47" t="e">
        <f>VLOOKUP(I43,Tabla6[],3,)</f>
        <v>#N/A</v>
      </c>
    </row>
    <row r="44" spans="2:10" x14ac:dyDescent="0.25">
      <c r="B44" s="45" t="s">
        <v>156</v>
      </c>
      <c r="C44" s="46" t="s">
        <v>265</v>
      </c>
      <c r="D44" s="43" t="str">
        <f>VLOOKUP(C44,Tabla_de_Datos_GENERALES!$B$9:$C$21,2,0)</f>
        <v>Plata</v>
      </c>
      <c r="H44" s="47" t="e">
        <f>VLOOKUP(G44,Tabla6[],3,)</f>
        <v>#N/A</v>
      </c>
      <c r="J44" s="47" t="e">
        <f>VLOOKUP(I44,Tabla6[],3,)</f>
        <v>#N/A</v>
      </c>
    </row>
    <row r="45" spans="2:10" x14ac:dyDescent="0.25">
      <c r="B45" s="45" t="s">
        <v>282</v>
      </c>
      <c r="C45" s="47" t="s">
        <v>246</v>
      </c>
      <c r="D45" s="43" t="str">
        <f>VLOOKUP(C45,Tabla_de_Datos_GENERALES!$B$9:$C$21,2,0)</f>
        <v>Bronce</v>
      </c>
      <c r="H45" s="47" t="e">
        <f>VLOOKUP(G45,Tabla6[],3,)</f>
        <v>#N/A</v>
      </c>
      <c r="J45" s="47" t="e">
        <f>VLOOKUP(I45,Tabla6[],3,)</f>
        <v>#N/A</v>
      </c>
    </row>
    <row r="46" spans="2:10" x14ac:dyDescent="0.25">
      <c r="B46" s="45" t="s">
        <v>283</v>
      </c>
      <c r="C46" s="47" t="s">
        <v>246</v>
      </c>
      <c r="D46" s="43" t="str">
        <f>VLOOKUP(C46,Tabla_de_Datos_GENERALES!$B$9:$C$21,2,0)</f>
        <v>Bronce</v>
      </c>
      <c r="H46" s="47" t="e">
        <f>VLOOKUP(G46,Tabla6[],3,)</f>
        <v>#N/A</v>
      </c>
      <c r="J46" s="47" t="e">
        <f>VLOOKUP(I46,Tabla6[],3,)</f>
        <v>#N/A</v>
      </c>
    </row>
    <row r="47" spans="2:10" x14ac:dyDescent="0.25">
      <c r="B47" s="45" t="s">
        <v>43</v>
      </c>
      <c r="C47" s="46" t="s">
        <v>258</v>
      </c>
      <c r="D47" s="43" t="str">
        <f>VLOOKUP(C47,Tabla_de_Datos_GENERALES!$B$9:$C$21,2,0)</f>
        <v>Platino</v>
      </c>
      <c r="H47" s="47" t="e">
        <f>VLOOKUP(G47,Tabla6[],3,)</f>
        <v>#N/A</v>
      </c>
      <c r="J47" s="47" t="e">
        <f>VLOOKUP(I47,Tabla6[],3,)</f>
        <v>#N/A</v>
      </c>
    </row>
    <row r="48" spans="2:10" x14ac:dyDescent="0.25">
      <c r="B48" s="45" t="s">
        <v>155</v>
      </c>
      <c r="C48" s="46" t="s">
        <v>265</v>
      </c>
      <c r="D48" s="43" t="str">
        <f>VLOOKUP(C48,Tabla_de_Datos_GENERALES!$B$9:$C$21,2,0)</f>
        <v>Plata</v>
      </c>
      <c r="H48" s="47" t="e">
        <f>VLOOKUP(G48,Tabla6[],3,)</f>
        <v>#N/A</v>
      </c>
      <c r="J48" s="47" t="e">
        <f>VLOOKUP(I48,Tabla6[],3,)</f>
        <v>#N/A</v>
      </c>
    </row>
    <row r="49" spans="2:10" x14ac:dyDescent="0.25">
      <c r="B49" s="45" t="s">
        <v>171</v>
      </c>
      <c r="C49" s="46" t="s">
        <v>265</v>
      </c>
      <c r="D49" s="43" t="str">
        <f>VLOOKUP(C49,Tabla_de_Datos_GENERALES!$B$9:$C$21,2,0)</f>
        <v>Plata</v>
      </c>
      <c r="H49" s="47" t="e">
        <f>VLOOKUP(G49,Tabla6[],3,)</f>
        <v>#N/A</v>
      </c>
      <c r="J49" s="47" t="e">
        <f>VLOOKUP(I49,Tabla6[],3,)</f>
        <v>#N/A</v>
      </c>
    </row>
    <row r="50" spans="2:10" x14ac:dyDescent="0.25">
      <c r="B50" s="45" t="s">
        <v>284</v>
      </c>
      <c r="C50" s="47" t="s">
        <v>246</v>
      </c>
      <c r="D50" s="43" t="str">
        <f>VLOOKUP(C50,Tabla_de_Datos_GENERALES!$B$9:$C$21,2,0)</f>
        <v>Bronce</v>
      </c>
      <c r="H50" s="47" t="e">
        <f>VLOOKUP(G50,Tabla6[],3,)</f>
        <v>#N/A</v>
      </c>
      <c r="J50" s="47" t="e">
        <f>VLOOKUP(I50,Tabla6[],3,)</f>
        <v>#N/A</v>
      </c>
    </row>
    <row r="51" spans="2:10" x14ac:dyDescent="0.25">
      <c r="B51" s="45" t="s">
        <v>285</v>
      </c>
      <c r="C51" s="47" t="s">
        <v>246</v>
      </c>
      <c r="D51" s="43" t="str">
        <f>VLOOKUP(C51,Tabla_de_Datos_GENERALES!$B$9:$C$21,2,0)</f>
        <v>Bronce</v>
      </c>
      <c r="H51" s="47" t="e">
        <f>VLOOKUP(G51,Tabla6[],3,)</f>
        <v>#N/A</v>
      </c>
      <c r="J51" s="47" t="e">
        <f>VLOOKUP(I51,Tabla6[],3,)</f>
        <v>#N/A</v>
      </c>
    </row>
    <row r="52" spans="2:10" x14ac:dyDescent="0.25">
      <c r="B52" s="45" t="s">
        <v>286</v>
      </c>
      <c r="C52" s="47" t="s">
        <v>246</v>
      </c>
      <c r="D52" s="43" t="str">
        <f>VLOOKUP(C52,Tabla_de_Datos_GENERALES!$B$9:$C$21,2,0)</f>
        <v>Bronce</v>
      </c>
      <c r="H52" s="47" t="e">
        <f>VLOOKUP(G52,Tabla6[],3,)</f>
        <v>#N/A</v>
      </c>
      <c r="J52" s="47" t="e">
        <f>VLOOKUP(I52,Tabla6[],3,)</f>
        <v>#N/A</v>
      </c>
    </row>
    <row r="53" spans="2:10" x14ac:dyDescent="0.25">
      <c r="B53" s="45" t="s">
        <v>287</v>
      </c>
      <c r="C53" s="46" t="s">
        <v>265</v>
      </c>
      <c r="D53" s="43" t="str">
        <f>VLOOKUP(C53,Tabla_de_Datos_GENERALES!$B$9:$C$21,2,0)</f>
        <v>Plata</v>
      </c>
      <c r="H53" s="47" t="e">
        <f>VLOOKUP(G53,Tabla6[],3,)</f>
        <v>#N/A</v>
      </c>
      <c r="J53" s="47" t="e">
        <f>VLOOKUP(I53,Tabla6[],3,)</f>
        <v>#N/A</v>
      </c>
    </row>
    <row r="54" spans="2:10" x14ac:dyDescent="0.25">
      <c r="B54" s="45" t="s">
        <v>288</v>
      </c>
      <c r="C54" s="47" t="s">
        <v>246</v>
      </c>
      <c r="D54" s="43" t="str">
        <f>VLOOKUP(C54,Tabla_de_Datos_GENERALES!$B$9:$C$21,2,0)</f>
        <v>Bronce</v>
      </c>
      <c r="H54" s="47" t="e">
        <f>VLOOKUP(G54,Tabla6[],3,)</f>
        <v>#N/A</v>
      </c>
      <c r="J54" s="47" t="e">
        <f>VLOOKUP(I54,Tabla6[],3,)</f>
        <v>#N/A</v>
      </c>
    </row>
    <row r="55" spans="2:10" x14ac:dyDescent="0.25">
      <c r="B55" s="45" t="s">
        <v>289</v>
      </c>
      <c r="C55" s="47" t="s">
        <v>246</v>
      </c>
      <c r="D55" s="43" t="str">
        <f>VLOOKUP(C55,Tabla_de_Datos_GENERALES!$B$9:$C$21,2,0)</f>
        <v>Bronce</v>
      </c>
      <c r="H55" s="47" t="e">
        <f>VLOOKUP(G55,Tabla6[],3,)</f>
        <v>#N/A</v>
      </c>
      <c r="J55" s="47" t="e">
        <f>VLOOKUP(I55,Tabla6[],3,)</f>
        <v>#N/A</v>
      </c>
    </row>
    <row r="56" spans="2:10" x14ac:dyDescent="0.25">
      <c r="B56" s="45" t="s">
        <v>159</v>
      </c>
      <c r="C56" s="46" t="s">
        <v>265</v>
      </c>
      <c r="D56" s="43" t="str">
        <f>VLOOKUP(C56,Tabla_de_Datos_GENERALES!$B$9:$C$21,2,0)</f>
        <v>Plata</v>
      </c>
      <c r="H56" s="47" t="e">
        <f>VLOOKUP(G56,Tabla6[],3,)</f>
        <v>#N/A</v>
      </c>
      <c r="J56" s="47" t="e">
        <f>VLOOKUP(I56,Tabla6[],3,)</f>
        <v>#N/A</v>
      </c>
    </row>
    <row r="57" spans="2:10" x14ac:dyDescent="0.25">
      <c r="B57" s="45" t="s">
        <v>229</v>
      </c>
      <c r="C57" s="46" t="s">
        <v>258</v>
      </c>
      <c r="D57" s="43" t="str">
        <f>VLOOKUP(C57,Tabla_de_Datos_GENERALES!$B$9:$C$21,2,0)</f>
        <v>Platino</v>
      </c>
      <c r="H57" s="47" t="e">
        <f>VLOOKUP(G57,Tabla6[],3,)</f>
        <v>#N/A</v>
      </c>
      <c r="J57" s="47" t="e">
        <f>VLOOKUP(I57,Tabla6[],3,)</f>
        <v>#N/A</v>
      </c>
    </row>
    <row r="58" spans="2:10" x14ac:dyDescent="0.25">
      <c r="B58" s="45" t="s">
        <v>200</v>
      </c>
      <c r="C58" s="46" t="s">
        <v>265</v>
      </c>
      <c r="D58" s="43" t="str">
        <f>VLOOKUP(C58,Tabla_de_Datos_GENERALES!$B$9:$C$21,2,0)</f>
        <v>Plata</v>
      </c>
      <c r="H58" s="47" t="e">
        <f>VLOOKUP(G58,Tabla6[],3,)</f>
        <v>#N/A</v>
      </c>
      <c r="J58" s="47" t="e">
        <f>VLOOKUP(I58,Tabla6[],3,)</f>
        <v>#N/A</v>
      </c>
    </row>
    <row r="59" spans="2:10" x14ac:dyDescent="0.25">
      <c r="B59" s="45" t="s">
        <v>51</v>
      </c>
      <c r="C59" s="46" t="s">
        <v>258</v>
      </c>
      <c r="D59" s="43" t="str">
        <f>VLOOKUP(C59,Tabla_de_Datos_GENERALES!$B$9:$C$21,2,0)</f>
        <v>Platino</v>
      </c>
      <c r="H59" s="47" t="e">
        <f>VLOOKUP(G59,Tabla6[],3,)</f>
        <v>#N/A</v>
      </c>
      <c r="J59" s="47" t="e">
        <f>VLOOKUP(I59,Tabla6[],3,)</f>
        <v>#N/A</v>
      </c>
    </row>
    <row r="60" spans="2:10" x14ac:dyDescent="0.25">
      <c r="B60" s="45" t="s">
        <v>56</v>
      </c>
      <c r="C60" s="46" t="s">
        <v>258</v>
      </c>
      <c r="D60" s="43" t="str">
        <f>VLOOKUP(C60,Tabla_de_Datos_GENERALES!$B$9:$C$21,2,0)</f>
        <v>Platino</v>
      </c>
      <c r="H60" s="47" t="e">
        <f>VLOOKUP(G60,Tabla6[],3,)</f>
        <v>#N/A</v>
      </c>
      <c r="J60" s="47" t="e">
        <f>VLOOKUP(I60,Tabla6[],3,)</f>
        <v>#N/A</v>
      </c>
    </row>
    <row r="61" spans="2:10" x14ac:dyDescent="0.25">
      <c r="B61" s="45" t="s">
        <v>106</v>
      </c>
      <c r="C61" s="46" t="s">
        <v>258</v>
      </c>
      <c r="D61" s="43" t="str">
        <f>VLOOKUP(C61,Tabla_de_Datos_GENERALES!$B$9:$C$21,2,0)</f>
        <v>Platino</v>
      </c>
      <c r="H61" s="47" t="e">
        <f>VLOOKUP(G61,Tabla6[],3,)</f>
        <v>#N/A</v>
      </c>
      <c r="J61" s="47" t="e">
        <f>VLOOKUP(I61,Tabla6[],3,)</f>
        <v>#N/A</v>
      </c>
    </row>
    <row r="62" spans="2:10" x14ac:dyDescent="0.25">
      <c r="B62" s="45" t="s">
        <v>211</v>
      </c>
      <c r="C62" s="46" t="s">
        <v>258</v>
      </c>
      <c r="D62" s="43" t="str">
        <f>VLOOKUP(C62,Tabla_de_Datos_GENERALES!$B$9:$C$21,2,0)</f>
        <v>Platino</v>
      </c>
      <c r="H62" s="47" t="e">
        <f>VLOOKUP(G62,Tabla6[],3,)</f>
        <v>#N/A</v>
      </c>
      <c r="J62" s="47" t="e">
        <f>VLOOKUP(I62,Tabla6[],3,)</f>
        <v>#N/A</v>
      </c>
    </row>
    <row r="63" spans="2:10" x14ac:dyDescent="0.25">
      <c r="B63" s="45" t="s">
        <v>290</v>
      </c>
      <c r="C63" s="47" t="s">
        <v>246</v>
      </c>
      <c r="D63" s="43" t="str">
        <f>VLOOKUP(C63,Tabla_de_Datos_GENERALES!$B$9:$C$21,2,0)</f>
        <v>Bronce</v>
      </c>
      <c r="H63" s="47" t="e">
        <f>VLOOKUP(G63,Tabla6[],3,)</f>
        <v>#N/A</v>
      </c>
      <c r="J63" s="47" t="e">
        <f>VLOOKUP(I63,Tabla6[],3,)</f>
        <v>#N/A</v>
      </c>
    </row>
    <row r="64" spans="2:10" x14ac:dyDescent="0.25">
      <c r="B64" s="45" t="s">
        <v>212</v>
      </c>
      <c r="C64" s="46" t="s">
        <v>258</v>
      </c>
      <c r="D64" s="43" t="str">
        <f>VLOOKUP(C64,Tabla_de_Datos_GENERALES!$B$9:$C$21,2,0)</f>
        <v>Platino</v>
      </c>
      <c r="H64" s="47" t="e">
        <f>VLOOKUP(G64,Tabla6[],3,)</f>
        <v>#N/A</v>
      </c>
      <c r="J64" s="47" t="e">
        <f>VLOOKUP(I64,Tabla6[],3,)</f>
        <v>#N/A</v>
      </c>
    </row>
    <row r="65" spans="2:10" x14ac:dyDescent="0.25">
      <c r="B65" s="45" t="s">
        <v>151</v>
      </c>
      <c r="C65" s="46" t="s">
        <v>263</v>
      </c>
      <c r="D65" s="43" t="str">
        <f>VLOOKUP(C65,Tabla_de_Datos_GENERALES!$B$9:$C$21,2,0)</f>
        <v>Plata</v>
      </c>
      <c r="H65" s="47" t="e">
        <f>VLOOKUP(G65,Tabla6[],3,)</f>
        <v>#N/A</v>
      </c>
      <c r="J65" s="47" t="e">
        <f>VLOOKUP(I65,Tabla6[],3,)</f>
        <v>#N/A</v>
      </c>
    </row>
    <row r="66" spans="2:10" x14ac:dyDescent="0.25">
      <c r="B66" s="45" t="s">
        <v>291</v>
      </c>
      <c r="C66" s="47" t="s">
        <v>246</v>
      </c>
      <c r="D66" s="43" t="str">
        <f>VLOOKUP(C66,Tabla_de_Datos_GENERALES!$B$9:$C$21,2,0)</f>
        <v>Bronce</v>
      </c>
      <c r="H66" s="47" t="e">
        <f>VLOOKUP(G66,Tabla6[],3,)</f>
        <v>#N/A</v>
      </c>
      <c r="J66" s="47" t="e">
        <f>VLOOKUP(I66,Tabla6[],3,)</f>
        <v>#N/A</v>
      </c>
    </row>
    <row r="67" spans="2:10" x14ac:dyDescent="0.25">
      <c r="B67" s="45" t="s">
        <v>70</v>
      </c>
      <c r="C67" s="46" t="s">
        <v>262</v>
      </c>
      <c r="D67" s="43" t="str">
        <f>VLOOKUP(C67,Tabla_de_Datos_GENERALES!$B$9:$C$21,2,0)</f>
        <v>Plata</v>
      </c>
      <c r="H67" s="47" t="e">
        <f>VLOOKUP(G67,Tabla6[],3,)</f>
        <v>#N/A</v>
      </c>
      <c r="J67" s="47" t="e">
        <f>VLOOKUP(I67,Tabla6[],3,)</f>
        <v>#N/A</v>
      </c>
    </row>
    <row r="68" spans="2:10" x14ac:dyDescent="0.25">
      <c r="B68" s="45" t="s">
        <v>292</v>
      </c>
      <c r="C68" s="47" t="s">
        <v>246</v>
      </c>
      <c r="D68" s="43" t="str">
        <f>VLOOKUP(C68,Tabla_de_Datos_GENERALES!$B$9:$C$21,2,0)</f>
        <v>Bronce</v>
      </c>
      <c r="H68" s="47" t="e">
        <f>VLOOKUP(G68,Tabla6[],3,)</f>
        <v>#N/A</v>
      </c>
      <c r="J68" s="47" t="e">
        <f>VLOOKUP(I68,Tabla6[],3,)</f>
        <v>#N/A</v>
      </c>
    </row>
    <row r="69" spans="2:10" x14ac:dyDescent="0.25">
      <c r="B69" s="45" t="s">
        <v>293</v>
      </c>
      <c r="C69" s="47" t="s">
        <v>246</v>
      </c>
      <c r="D69" s="43" t="str">
        <f>VLOOKUP(C69,Tabla_de_Datos_GENERALES!$B$9:$C$21,2,0)</f>
        <v>Bronce</v>
      </c>
      <c r="H69" s="47" t="e">
        <f>VLOOKUP(G69,Tabla6[],3,)</f>
        <v>#N/A</v>
      </c>
      <c r="J69" s="47" t="e">
        <f>VLOOKUP(I69,Tabla6[],3,)</f>
        <v>#N/A</v>
      </c>
    </row>
    <row r="70" spans="2:10" x14ac:dyDescent="0.25">
      <c r="B70" s="45" t="s">
        <v>294</v>
      </c>
      <c r="C70" s="47" t="s">
        <v>246</v>
      </c>
      <c r="D70" s="43" t="str">
        <f>VLOOKUP(C70,Tabla_de_Datos_GENERALES!$B$9:$C$21,2,0)</f>
        <v>Bronce</v>
      </c>
      <c r="H70" s="47" t="e">
        <f>VLOOKUP(G70,Tabla6[],3,)</f>
        <v>#N/A</v>
      </c>
      <c r="J70" s="47" t="e">
        <f>VLOOKUP(I70,Tabla6[],3,)</f>
        <v>#N/A</v>
      </c>
    </row>
    <row r="71" spans="2:10" x14ac:dyDescent="0.25">
      <c r="B71" s="45" t="s">
        <v>108</v>
      </c>
      <c r="C71" s="46" t="s">
        <v>259</v>
      </c>
      <c r="D71" s="43" t="str">
        <f>VLOOKUP(C71,Tabla_de_Datos_GENERALES!$B$9:$C$21,2,0)</f>
        <v>Platino</v>
      </c>
      <c r="H71" s="47" t="e">
        <f>VLOOKUP(G71,Tabla6[],3,)</f>
        <v>#N/A</v>
      </c>
      <c r="J71" s="47" t="e">
        <f>VLOOKUP(I71,Tabla6[],3,)</f>
        <v>#N/A</v>
      </c>
    </row>
    <row r="72" spans="2:10" x14ac:dyDescent="0.25">
      <c r="B72" s="45" t="s">
        <v>53</v>
      </c>
      <c r="C72" s="46" t="s">
        <v>258</v>
      </c>
      <c r="D72" s="43" t="str">
        <f>VLOOKUP(C72,Tabla_de_Datos_GENERALES!$B$9:$C$21,2,0)</f>
        <v>Platino</v>
      </c>
      <c r="H72" s="47" t="e">
        <f>VLOOKUP(G72,Tabla6[],3,)</f>
        <v>#N/A</v>
      </c>
      <c r="J72" s="47" t="e">
        <f>VLOOKUP(I72,Tabla6[],3,)</f>
        <v>#N/A</v>
      </c>
    </row>
    <row r="73" spans="2:10" x14ac:dyDescent="0.25">
      <c r="B73" s="45" t="s">
        <v>213</v>
      </c>
      <c r="C73" s="46" t="s">
        <v>258</v>
      </c>
      <c r="D73" s="43" t="str">
        <f>VLOOKUP(C73,Tabla_de_Datos_GENERALES!$B$9:$C$21,2,0)</f>
        <v>Platino</v>
      </c>
      <c r="H73" s="47" t="e">
        <f>VLOOKUP(G73,Tabla6[],3,)</f>
        <v>#N/A</v>
      </c>
      <c r="J73" s="47" t="e">
        <f>VLOOKUP(I73,Tabla6[],3,)</f>
        <v>#N/A</v>
      </c>
    </row>
    <row r="74" spans="2:10" x14ac:dyDescent="0.25">
      <c r="B74" s="45" t="s">
        <v>99</v>
      </c>
      <c r="C74" s="46" t="s">
        <v>265</v>
      </c>
      <c r="D74" s="43" t="str">
        <f>VLOOKUP(C74,Tabla_de_Datos_GENERALES!$B$9:$C$21,2,0)</f>
        <v>Plata</v>
      </c>
      <c r="H74" s="47" t="e">
        <f>VLOOKUP(G74,Tabla6[],3,)</f>
        <v>#N/A</v>
      </c>
      <c r="J74" s="47" t="e">
        <f>VLOOKUP(I74,Tabla6[],3,)</f>
        <v>#N/A</v>
      </c>
    </row>
    <row r="75" spans="2:10" x14ac:dyDescent="0.25">
      <c r="B75" s="45" t="s">
        <v>170</v>
      </c>
      <c r="C75" s="46" t="s">
        <v>263</v>
      </c>
      <c r="D75" s="43" t="str">
        <f>VLOOKUP(C75,Tabla_de_Datos_GENERALES!$B$9:$C$21,2,0)</f>
        <v>Plata</v>
      </c>
      <c r="H75" s="47" t="e">
        <f>VLOOKUP(G75,Tabla6[],3,)</f>
        <v>#N/A</v>
      </c>
      <c r="J75" s="47" t="e">
        <f>VLOOKUP(I75,Tabla6[],3,)</f>
        <v>#N/A</v>
      </c>
    </row>
    <row r="76" spans="2:10" x14ac:dyDescent="0.25">
      <c r="B76" s="45" t="s">
        <v>201</v>
      </c>
      <c r="C76" s="46" t="s">
        <v>122</v>
      </c>
      <c r="D76" s="43" t="str">
        <f>VLOOKUP(C76,Tabla_de_Datos_GENERALES!$B$9:$C$21,2,0)</f>
        <v>Oro</v>
      </c>
      <c r="H76" s="47" t="e">
        <f>VLOOKUP(G76,Tabla6[],3,)</f>
        <v>#N/A</v>
      </c>
      <c r="J76" s="47" t="e">
        <f>VLOOKUP(I76,Tabla6[],3,)</f>
        <v>#N/A</v>
      </c>
    </row>
    <row r="77" spans="2:10" x14ac:dyDescent="0.25">
      <c r="B77" s="45" t="s">
        <v>295</v>
      </c>
      <c r="C77" s="47" t="s">
        <v>246</v>
      </c>
      <c r="D77" s="43" t="str">
        <f>VLOOKUP(C77,Tabla_de_Datos_GENERALES!$B$9:$C$21,2,0)</f>
        <v>Bronce</v>
      </c>
      <c r="H77" s="47" t="e">
        <f>VLOOKUP(G77,Tabla6[],3,)</f>
        <v>#N/A</v>
      </c>
      <c r="J77" s="47" t="e">
        <f>VLOOKUP(I77,Tabla6[],3,)</f>
        <v>#N/A</v>
      </c>
    </row>
    <row r="78" spans="2:10" x14ac:dyDescent="0.25">
      <c r="B78" s="45" t="s">
        <v>296</v>
      </c>
      <c r="C78" s="47" t="s">
        <v>246</v>
      </c>
      <c r="D78" s="43" t="str">
        <f>VLOOKUP(C78,Tabla_de_Datos_GENERALES!$B$9:$C$21,2,0)</f>
        <v>Bronce</v>
      </c>
      <c r="H78" s="47" t="e">
        <f>VLOOKUP(G78,Tabla6[],3,)</f>
        <v>#N/A</v>
      </c>
      <c r="J78" s="47" t="e">
        <f>VLOOKUP(I78,Tabla6[],3,)</f>
        <v>#N/A</v>
      </c>
    </row>
    <row r="79" spans="2:10" x14ac:dyDescent="0.25">
      <c r="B79" s="45" t="s">
        <v>297</v>
      </c>
      <c r="C79" s="47" t="s">
        <v>246</v>
      </c>
      <c r="D79" s="43" t="str">
        <f>VLOOKUP(C79,Tabla_de_Datos_GENERALES!$B$9:$C$21,2,0)</f>
        <v>Bronce</v>
      </c>
      <c r="H79" s="47" t="e">
        <f>VLOOKUP(G79,Tabla6[],3,)</f>
        <v>#N/A</v>
      </c>
      <c r="J79" s="47" t="e">
        <f>VLOOKUP(I79,Tabla6[],3,)</f>
        <v>#N/A</v>
      </c>
    </row>
    <row r="80" spans="2:10" x14ac:dyDescent="0.25">
      <c r="B80" s="45" t="s">
        <v>218</v>
      </c>
      <c r="C80" s="46" t="s">
        <v>261</v>
      </c>
      <c r="D80" s="43" t="str">
        <f>VLOOKUP(C80,Tabla_de_Datos_GENERALES!$B$9:$C$21,2,0)</f>
        <v>Oro</v>
      </c>
      <c r="H80" s="47" t="e">
        <f>VLOOKUP(G80,Tabla6[],3,)</f>
        <v>#N/A</v>
      </c>
      <c r="J80" s="47" t="e">
        <f>VLOOKUP(I80,Tabla6[],3,)</f>
        <v>#N/A</v>
      </c>
    </row>
    <row r="81" spans="2:10" x14ac:dyDescent="0.25">
      <c r="B81" s="45" t="s">
        <v>206</v>
      </c>
      <c r="C81" s="46" t="s">
        <v>123</v>
      </c>
      <c r="D81" s="43" t="str">
        <f>VLOOKUP(C81,Tabla_de_Datos_GENERALES!$B$9:$C$21,2,0)</f>
        <v>Plata</v>
      </c>
      <c r="H81" s="47" t="e">
        <f>VLOOKUP(G81,Tabla6[],3,)</f>
        <v>#N/A</v>
      </c>
      <c r="J81" s="47" t="e">
        <f>VLOOKUP(I81,Tabla6[],3,)</f>
        <v>#N/A</v>
      </c>
    </row>
    <row r="82" spans="2:10" x14ac:dyDescent="0.25">
      <c r="B82" s="45" t="s">
        <v>61</v>
      </c>
      <c r="C82" s="46" t="s">
        <v>122</v>
      </c>
      <c r="D82" s="43" t="str">
        <f>VLOOKUP(C82,Tabla_de_Datos_GENERALES!$B$9:$C$21,2,0)</f>
        <v>Oro</v>
      </c>
      <c r="H82" s="47" t="e">
        <f>VLOOKUP(G82,Tabla6[],3,)</f>
        <v>#N/A</v>
      </c>
      <c r="J82" s="47" t="e">
        <f>VLOOKUP(I82,Tabla6[],3,)</f>
        <v>#N/A</v>
      </c>
    </row>
    <row r="83" spans="2:10" x14ac:dyDescent="0.25">
      <c r="B83" s="45" t="s">
        <v>214</v>
      </c>
      <c r="C83" s="46" t="s">
        <v>258</v>
      </c>
      <c r="D83" s="43" t="str">
        <f>VLOOKUP(C83,Tabla_de_Datos_GENERALES!$B$9:$C$21,2,0)</f>
        <v>Platino</v>
      </c>
      <c r="H83" s="47" t="e">
        <f>VLOOKUP(G83,Tabla6[],3,)</f>
        <v>#N/A</v>
      </c>
      <c r="J83" s="47" t="e">
        <f>VLOOKUP(I83,Tabla6[],3,)</f>
        <v>#N/A</v>
      </c>
    </row>
    <row r="84" spans="2:10" x14ac:dyDescent="0.25">
      <c r="B84" s="45" t="s">
        <v>298</v>
      </c>
      <c r="C84" s="47" t="s">
        <v>246</v>
      </c>
      <c r="D84" s="43" t="str">
        <f>VLOOKUP(C84,Tabla_de_Datos_GENERALES!$B$9:$C$21,2,0)</f>
        <v>Bronce</v>
      </c>
      <c r="H84" s="47" t="e">
        <f>VLOOKUP(G84,Tabla6[],3,)</f>
        <v>#N/A</v>
      </c>
      <c r="J84" s="47" t="e">
        <f>VLOOKUP(I84,Tabla6[],3,)</f>
        <v>#N/A</v>
      </c>
    </row>
    <row r="85" spans="2:10" x14ac:dyDescent="0.25">
      <c r="B85" s="45" t="s">
        <v>572</v>
      </c>
      <c r="C85" s="47" t="s">
        <v>246</v>
      </c>
      <c r="D85" s="43" t="str">
        <f>VLOOKUP(C85,Tabla_de_Datos_GENERALES!$B$9:$C$21,2,0)</f>
        <v>Bronce</v>
      </c>
      <c r="H85" s="47" t="e">
        <f>VLOOKUP(G85,Tabla6[],3,)</f>
        <v>#N/A</v>
      </c>
      <c r="J85" s="47" t="e">
        <f>VLOOKUP(I85,Tabla6[],3,)</f>
        <v>#N/A</v>
      </c>
    </row>
    <row r="86" spans="2:10" x14ac:dyDescent="0.25">
      <c r="B86" s="45" t="s">
        <v>299</v>
      </c>
      <c r="C86" s="47" t="s">
        <v>246</v>
      </c>
      <c r="D86" s="43" t="str">
        <f>VLOOKUP(C86,Tabla_de_Datos_GENERALES!$B$9:$C$21,2,0)</f>
        <v>Bronce</v>
      </c>
      <c r="H86" s="47" t="e">
        <f>VLOOKUP(G86,Tabla6[],3,)</f>
        <v>#N/A</v>
      </c>
      <c r="J86" s="47" t="e">
        <f>VLOOKUP(I86,Tabla6[],3,)</f>
        <v>#N/A</v>
      </c>
    </row>
    <row r="87" spans="2:10" x14ac:dyDescent="0.25">
      <c r="B87" s="45" t="s">
        <v>72</v>
      </c>
      <c r="C87" s="46" t="s">
        <v>262</v>
      </c>
      <c r="D87" s="43" t="str">
        <f>VLOOKUP(C87,Tabla_de_Datos_GENERALES!$B$9:$C$21,2,0)</f>
        <v>Plata</v>
      </c>
    </row>
    <row r="88" spans="2:10" x14ac:dyDescent="0.25">
      <c r="B88" s="45" t="s">
        <v>300</v>
      </c>
      <c r="C88" s="47" t="s">
        <v>246</v>
      </c>
      <c r="D88" s="43" t="str">
        <f>VLOOKUP(C88,Tabla_de_Datos_GENERALES!$B$9:$C$21,2,0)</f>
        <v>Bronce</v>
      </c>
    </row>
    <row r="89" spans="2:10" x14ac:dyDescent="0.25">
      <c r="B89" s="45" t="s">
        <v>91</v>
      </c>
      <c r="C89" s="46" t="s">
        <v>265</v>
      </c>
      <c r="D89" s="43" t="str">
        <f>VLOOKUP(C89,Tabla_de_Datos_GENERALES!$B$9:$C$21,2,0)</f>
        <v>Plata</v>
      </c>
    </row>
    <row r="90" spans="2:10" x14ac:dyDescent="0.25">
      <c r="B90" s="45" t="s">
        <v>87</v>
      </c>
      <c r="C90" s="46" t="s">
        <v>265</v>
      </c>
      <c r="D90" s="43" t="str">
        <f>VLOOKUP(C90,Tabla_de_Datos_GENERALES!$B$9:$C$21,2,0)</f>
        <v>Plata</v>
      </c>
    </row>
    <row r="91" spans="2:10" x14ac:dyDescent="0.25">
      <c r="B91" s="45" t="s">
        <v>46</v>
      </c>
      <c r="C91" s="46" t="s">
        <v>258</v>
      </c>
      <c r="D91" s="43" t="str">
        <f>VLOOKUP(C91,Tabla_de_Datos_GENERALES!$B$9:$C$21,2,0)</f>
        <v>Platino</v>
      </c>
    </row>
    <row r="92" spans="2:10" x14ac:dyDescent="0.25">
      <c r="B92" s="45" t="s">
        <v>67</v>
      </c>
      <c r="C92" s="46" t="s">
        <v>262</v>
      </c>
      <c r="D92" s="43" t="str">
        <f>VLOOKUP(C92,Tabla_de_Datos_GENERALES!$B$9:$C$21,2,0)</f>
        <v>Plata</v>
      </c>
    </row>
    <row r="93" spans="2:10" x14ac:dyDescent="0.25">
      <c r="B93" s="45" t="s">
        <v>301</v>
      </c>
      <c r="C93" s="47" t="s">
        <v>246</v>
      </c>
      <c r="D93" s="43" t="str">
        <f>VLOOKUP(C93,Tabla_de_Datos_GENERALES!$B$9:$C$21,2,0)</f>
        <v>Bronce</v>
      </c>
    </row>
    <row r="94" spans="2:10" x14ac:dyDescent="0.25">
      <c r="B94" s="45" t="s">
        <v>169</v>
      </c>
      <c r="C94" s="46" t="s">
        <v>263</v>
      </c>
      <c r="D94" s="43" t="str">
        <f>VLOOKUP(C94,Tabla_de_Datos_GENERALES!$B$9:$C$21,2,0)</f>
        <v>Plata</v>
      </c>
    </row>
    <row r="95" spans="2:10" x14ac:dyDescent="0.25">
      <c r="B95" s="45" t="s">
        <v>303</v>
      </c>
      <c r="C95" s="47" t="s">
        <v>246</v>
      </c>
      <c r="D95" s="43" t="str">
        <f>VLOOKUP(C95,Tabla_de_Datos_GENERALES!$B$9:$C$21,2,0)</f>
        <v>Bronce</v>
      </c>
    </row>
    <row r="96" spans="2:10" x14ac:dyDescent="0.25">
      <c r="B96" s="135" t="s">
        <v>573</v>
      </c>
      <c r="C96" s="47" t="s">
        <v>246</v>
      </c>
      <c r="D96" s="43" t="str">
        <f>VLOOKUP(C96,Tabla_de_Datos_GENERALES!$B$9:$C$21,2,2)</f>
        <v>Oro</v>
      </c>
    </row>
    <row r="97" spans="2:4" x14ac:dyDescent="0.25">
      <c r="B97" s="45" t="s">
        <v>304</v>
      </c>
      <c r="C97" s="47" t="s">
        <v>246</v>
      </c>
      <c r="D97" s="43" t="str">
        <f>VLOOKUP(C97,Tabla_de_Datos_GENERALES!$B$9:$C$21,2,0)</f>
        <v>Bronce</v>
      </c>
    </row>
    <row r="98" spans="2:4" x14ac:dyDescent="0.25">
      <c r="B98" s="45" t="s">
        <v>305</v>
      </c>
      <c r="C98" s="47" t="s">
        <v>246</v>
      </c>
      <c r="D98" s="43" t="str">
        <f>VLOOKUP(C98,Tabla_de_Datos_GENERALES!$B$9:$C$21,2,0)</f>
        <v>Bronce</v>
      </c>
    </row>
    <row r="99" spans="2:4" x14ac:dyDescent="0.25">
      <c r="B99" s="45" t="s">
        <v>161</v>
      </c>
      <c r="C99" s="46" t="s">
        <v>265</v>
      </c>
      <c r="D99" s="43" t="str">
        <f>VLOOKUP(C99,Tabla_de_Datos_GENERALES!$B$9:$C$21,2,0)</f>
        <v>Plata</v>
      </c>
    </row>
    <row r="100" spans="2:4" x14ac:dyDescent="0.25">
      <c r="B100" s="45" t="s">
        <v>57</v>
      </c>
      <c r="C100" s="46" t="s">
        <v>258</v>
      </c>
      <c r="D100" s="43" t="str">
        <f>VLOOKUP(C100,Tabla_de_Datos_GENERALES!$B$9:$C$21,2,0)</f>
        <v>Platino</v>
      </c>
    </row>
    <row r="101" spans="2:4" x14ac:dyDescent="0.25">
      <c r="B101" s="45" t="s">
        <v>306</v>
      </c>
      <c r="C101" s="47" t="s">
        <v>246</v>
      </c>
      <c r="D101" s="43" t="str">
        <f>VLOOKUP(C101,Tabla_de_Datos_GENERALES!$B$9:$C$21,2,0)</f>
        <v>Bronce</v>
      </c>
    </row>
    <row r="102" spans="2:4" x14ac:dyDescent="0.25">
      <c r="B102" s="45" t="s">
        <v>219</v>
      </c>
      <c r="C102" s="46" t="s">
        <v>256</v>
      </c>
      <c r="D102" s="43" t="str">
        <f>VLOOKUP(C102,Tabla_de_Datos_GENERALES!$B$9:$C$21,2,0)</f>
        <v>Oro</v>
      </c>
    </row>
    <row r="103" spans="2:4" x14ac:dyDescent="0.25">
      <c r="B103" s="45" t="s">
        <v>47</v>
      </c>
      <c r="C103" s="46" t="s">
        <v>258</v>
      </c>
      <c r="D103" s="43" t="str">
        <f>VLOOKUP(C103,Tabla_de_Datos_GENERALES!$B$9:$C$21,2,0)</f>
        <v>Platino</v>
      </c>
    </row>
    <row r="104" spans="2:4" x14ac:dyDescent="0.25">
      <c r="B104" s="45" t="s">
        <v>157</v>
      </c>
      <c r="C104" s="46" t="s">
        <v>265</v>
      </c>
      <c r="D104" s="43" t="str">
        <f>VLOOKUP(C104,Tabla_de_Datos_GENERALES!$B$9:$C$21,2,0)</f>
        <v>Plata</v>
      </c>
    </row>
    <row r="105" spans="2:4" x14ac:dyDescent="0.25">
      <c r="B105" s="45" t="s">
        <v>69</v>
      </c>
      <c r="C105" s="46" t="s">
        <v>262</v>
      </c>
      <c r="D105" s="43" t="str">
        <f>VLOOKUP(C105,Tabla_de_Datos_GENERALES!$B$9:$C$21,2,0)</f>
        <v>Plata</v>
      </c>
    </row>
    <row r="106" spans="2:4" x14ac:dyDescent="0.25">
      <c r="B106" s="45" t="s">
        <v>307</v>
      </c>
      <c r="C106" s="47" t="s">
        <v>246</v>
      </c>
      <c r="D106" s="43" t="str">
        <f>VLOOKUP(C106,Tabla_de_Datos_GENERALES!$B$9:$C$21,2,0)</f>
        <v>Bronce</v>
      </c>
    </row>
    <row r="107" spans="2:4" x14ac:dyDescent="0.25">
      <c r="B107" s="45" t="s">
        <v>308</v>
      </c>
      <c r="C107" s="47" t="s">
        <v>246</v>
      </c>
      <c r="D107" s="43" t="str">
        <f>VLOOKUP(C107,Tabla_de_Datos_GENERALES!$B$9:$C$21,2,0)</f>
        <v>Bronce</v>
      </c>
    </row>
    <row r="108" spans="2:4" x14ac:dyDescent="0.25">
      <c r="B108" s="45" t="s">
        <v>309</v>
      </c>
      <c r="C108" s="47" t="s">
        <v>246</v>
      </c>
      <c r="D108" s="43" t="str">
        <f>VLOOKUP(C108,Tabla_de_Datos_GENERALES!$B$9:$C$21,2,0)</f>
        <v>Bronce</v>
      </c>
    </row>
    <row r="109" spans="2:4" x14ac:dyDescent="0.25">
      <c r="B109" s="45" t="s">
        <v>310</v>
      </c>
      <c r="C109" s="47" t="s">
        <v>246</v>
      </c>
      <c r="D109" s="43" t="str">
        <f>VLOOKUP(C109,Tabla_de_Datos_GENERALES!$B$9:$C$21,2,0)</f>
        <v>Bronce</v>
      </c>
    </row>
    <row r="110" spans="2:4" x14ac:dyDescent="0.25">
      <c r="B110" s="45" t="s">
        <v>311</v>
      </c>
      <c r="C110" s="47" t="s">
        <v>246</v>
      </c>
      <c r="D110" s="43" t="str">
        <f>VLOOKUP(C110,Tabla_de_Datos_GENERALES!$B$9:$C$21,2,0)</f>
        <v>Bronce</v>
      </c>
    </row>
    <row r="111" spans="2:4" x14ac:dyDescent="0.25">
      <c r="B111" s="45" t="s">
        <v>312</v>
      </c>
      <c r="C111" s="47" t="s">
        <v>246</v>
      </c>
      <c r="D111" s="43" t="str">
        <f>VLOOKUP(C111,Tabla_de_Datos_GENERALES!$B$9:$C$21,2,0)</f>
        <v>Bronce</v>
      </c>
    </row>
    <row r="112" spans="2:4" x14ac:dyDescent="0.25">
      <c r="B112" s="45" t="s">
        <v>107</v>
      </c>
      <c r="C112" s="46" t="s">
        <v>258</v>
      </c>
      <c r="D112" s="43" t="str">
        <f>VLOOKUP(C112,Tabla_de_Datos_GENERALES!$B$9:$C$21,2,0)</f>
        <v>Platino</v>
      </c>
    </row>
    <row r="113" spans="2:4" x14ac:dyDescent="0.25">
      <c r="B113" s="45" t="s">
        <v>98</v>
      </c>
      <c r="C113" s="46" t="s">
        <v>265</v>
      </c>
      <c r="D113" s="43" t="str">
        <f>VLOOKUP(C113,Tabla_de_Datos_GENERALES!$B$9:$C$21,2,0)</f>
        <v>Plata</v>
      </c>
    </row>
    <row r="114" spans="2:4" x14ac:dyDescent="0.25">
      <c r="B114" s="45" t="s">
        <v>166</v>
      </c>
      <c r="C114" s="46" t="s">
        <v>263</v>
      </c>
      <c r="D114" s="43" t="str">
        <f>VLOOKUP(C114,Tabla_de_Datos_GENERALES!$B$9:$C$21,2,0)</f>
        <v>Plata</v>
      </c>
    </row>
    <row r="115" spans="2:4" x14ac:dyDescent="0.25">
      <c r="B115" s="45" t="s">
        <v>68</v>
      </c>
      <c r="C115" s="46" t="s">
        <v>256</v>
      </c>
      <c r="D115" s="43" t="str">
        <f>VLOOKUP(C115,Tabla_de_Datos_GENERALES!$B$9:$C$21,2,0)</f>
        <v>Oro</v>
      </c>
    </row>
    <row r="116" spans="2:4" x14ac:dyDescent="0.25">
      <c r="B116" s="45" t="s">
        <v>313</v>
      </c>
      <c r="C116" s="47" t="s">
        <v>246</v>
      </c>
      <c r="D116" s="43" t="str">
        <f>VLOOKUP(C116,Tabla_de_Datos_GENERALES!$B$9:$C$21,2,0)</f>
        <v>Bronce</v>
      </c>
    </row>
    <row r="117" spans="2:4" x14ac:dyDescent="0.25">
      <c r="B117" s="45" t="s">
        <v>314</v>
      </c>
      <c r="C117" s="47" t="s">
        <v>246</v>
      </c>
      <c r="D117" s="43" t="str">
        <f>VLOOKUP(C117,Tabla_de_Datos_GENERALES!$B$9:$C$21,2,0)</f>
        <v>Bronce</v>
      </c>
    </row>
    <row r="118" spans="2:4" x14ac:dyDescent="0.25">
      <c r="B118" s="45" t="s">
        <v>315</v>
      </c>
      <c r="C118" s="47" t="s">
        <v>246</v>
      </c>
      <c r="D118" s="43" t="str">
        <f>VLOOKUP(C118,Tabla_de_Datos_GENERALES!$B$9:$C$21,2,0)</f>
        <v>Bronce</v>
      </c>
    </row>
    <row r="119" spans="2:4" x14ac:dyDescent="0.25">
      <c r="B119" s="45" t="s">
        <v>167</v>
      </c>
      <c r="C119" s="46" t="s">
        <v>263</v>
      </c>
      <c r="D119" s="43" t="str">
        <f>VLOOKUP(C119,Tabla_de_Datos_GENERALES!$B$9:$C$21,2,0)</f>
        <v>Plata</v>
      </c>
    </row>
    <row r="120" spans="2:4" x14ac:dyDescent="0.25">
      <c r="B120" s="45" t="s">
        <v>316</v>
      </c>
      <c r="C120" s="47" t="s">
        <v>246</v>
      </c>
      <c r="D120" s="43" t="str">
        <f>VLOOKUP(C120,Tabla_de_Datos_GENERALES!$B$9:$C$21,2,0)</f>
        <v>Bronce</v>
      </c>
    </row>
    <row r="121" spans="2:4" x14ac:dyDescent="0.25">
      <c r="B121" s="45" t="s">
        <v>215</v>
      </c>
      <c r="C121" s="46" t="s">
        <v>258</v>
      </c>
      <c r="D121" s="43" t="str">
        <f>VLOOKUP(C121,Tabla_de_Datos_GENERALES!$B$9:$C$21,2,0)</f>
        <v>Platino</v>
      </c>
    </row>
    <row r="122" spans="2:4" x14ac:dyDescent="0.25">
      <c r="B122" s="45" t="s">
        <v>93</v>
      </c>
      <c r="C122" s="46" t="s">
        <v>265</v>
      </c>
      <c r="D122" s="43" t="str">
        <f>VLOOKUP(C122,Tabla_de_Datos_GENERALES!$B$9:$C$21,2,0)</f>
        <v>Plata</v>
      </c>
    </row>
    <row r="123" spans="2:4" x14ac:dyDescent="0.25">
      <c r="B123" s="45" t="s">
        <v>317</v>
      </c>
      <c r="C123" s="47" t="s">
        <v>246</v>
      </c>
      <c r="D123" s="43" t="str">
        <f>VLOOKUP(C123,Tabla_de_Datos_GENERALES!$B$9:$C$21,2,0)</f>
        <v>Bronce</v>
      </c>
    </row>
    <row r="124" spans="2:4" x14ac:dyDescent="0.25">
      <c r="B124" s="45" t="s">
        <v>318</v>
      </c>
      <c r="C124" s="47" t="s">
        <v>246</v>
      </c>
      <c r="D124" s="43" t="str">
        <f>VLOOKUP(C124,Tabla_de_Datos_GENERALES!$B$9:$C$21,2,0)</f>
        <v>Bronce</v>
      </c>
    </row>
    <row r="125" spans="2:4" x14ac:dyDescent="0.25">
      <c r="B125" s="45" t="s">
        <v>319</v>
      </c>
      <c r="C125" s="47" t="s">
        <v>246</v>
      </c>
      <c r="D125" s="43" t="str">
        <f>VLOOKUP(C125,Tabla_de_Datos_GENERALES!$B$9:$C$21,2,0)</f>
        <v>Bronce</v>
      </c>
    </row>
    <row r="126" spans="2:4" x14ac:dyDescent="0.25">
      <c r="B126" s="45" t="s">
        <v>320</v>
      </c>
      <c r="C126" s="47" t="s">
        <v>246</v>
      </c>
      <c r="D126" s="43" t="str">
        <f>VLOOKUP(C126,Tabla_de_Datos_GENERALES!$B$9:$C$21,2,0)</f>
        <v>Bronce</v>
      </c>
    </row>
    <row r="127" spans="2:4" x14ac:dyDescent="0.25">
      <c r="B127" s="45" t="s">
        <v>75</v>
      </c>
      <c r="C127" s="46" t="s">
        <v>262</v>
      </c>
      <c r="D127" s="43" t="str">
        <f>VLOOKUP(C127,Tabla_de_Datos_GENERALES!$B$9:$C$21,2,0)</f>
        <v>Plata</v>
      </c>
    </row>
    <row r="128" spans="2:4" x14ac:dyDescent="0.25">
      <c r="B128" s="45" t="s">
        <v>62</v>
      </c>
      <c r="C128" s="46" t="s">
        <v>122</v>
      </c>
      <c r="D128" s="43" t="str">
        <f>VLOOKUP(C128,Tabla_de_Datos_GENERALES!$B$9:$C$21,2,0)</f>
        <v>Oro</v>
      </c>
    </row>
    <row r="129" spans="2:4" x14ac:dyDescent="0.25">
      <c r="B129" s="45" t="s">
        <v>45</v>
      </c>
      <c r="C129" s="46" t="s">
        <v>258</v>
      </c>
      <c r="D129" s="43" t="str">
        <f>VLOOKUP(C129,Tabla_de_Datos_GENERALES!$B$9:$C$21,2,0)</f>
        <v>Platino</v>
      </c>
    </row>
    <row r="130" spans="2:4" x14ac:dyDescent="0.25">
      <c r="B130" s="45" t="s">
        <v>232</v>
      </c>
      <c r="C130" s="46" t="s">
        <v>265</v>
      </c>
      <c r="D130" s="43" t="str">
        <f>VLOOKUP(C130,Tabla_de_Datos_GENERALES!$B$9:$C$21,2,0)</f>
        <v>Plata</v>
      </c>
    </row>
    <row r="131" spans="2:4" x14ac:dyDescent="0.25">
      <c r="B131" s="45" t="s">
        <v>220</v>
      </c>
      <c r="C131" s="46" t="s">
        <v>256</v>
      </c>
      <c r="D131" s="43" t="str">
        <f>VLOOKUP(C131,Tabla_de_Datos_GENERALES!$B$9:$C$21,2,0)</f>
        <v>Oro</v>
      </c>
    </row>
    <row r="132" spans="2:4" x14ac:dyDescent="0.25">
      <c r="B132" s="45" t="s">
        <v>321</v>
      </c>
      <c r="C132" s="47" t="s">
        <v>246</v>
      </c>
      <c r="D132" s="43" t="str">
        <f>VLOOKUP(C132,Tabla_de_Datos_GENERALES!$B$9:$C$21,2,0)</f>
        <v>Bronce</v>
      </c>
    </row>
    <row r="133" spans="2:4" x14ac:dyDescent="0.25">
      <c r="B133" s="45" t="s">
        <v>172</v>
      </c>
      <c r="C133" s="46" t="s">
        <v>265</v>
      </c>
      <c r="D133" s="43" t="str">
        <f>VLOOKUP(C133,Tabla_de_Datos_GENERALES!$B$9:$C$21,2,0)</f>
        <v>Plata</v>
      </c>
    </row>
    <row r="134" spans="2:4" x14ac:dyDescent="0.25">
      <c r="B134" s="45" t="s">
        <v>233</v>
      </c>
      <c r="C134" s="46" t="s">
        <v>262</v>
      </c>
      <c r="D134" s="43" t="str">
        <f>VLOOKUP(C134,Tabla_de_Datos_GENERALES!$B$9:$C$21,2,0)</f>
        <v>Plata</v>
      </c>
    </row>
    <row r="135" spans="2:4" x14ac:dyDescent="0.25">
      <c r="B135" s="45" t="s">
        <v>322</v>
      </c>
      <c r="C135" s="47" t="s">
        <v>246</v>
      </c>
      <c r="D135" s="43" t="str">
        <f>VLOOKUP(C135,Tabla_de_Datos_GENERALES!$B$9:$C$21,2,0)</f>
        <v>Bronce</v>
      </c>
    </row>
    <row r="136" spans="2:4" x14ac:dyDescent="0.25">
      <c r="B136" s="45" t="s">
        <v>160</v>
      </c>
      <c r="C136" s="46" t="s">
        <v>265</v>
      </c>
      <c r="D136" s="43" t="str">
        <f>VLOOKUP(C136,Tabla_de_Datos_GENERALES!$B$9:$C$21,2,0)</f>
        <v>Plata</v>
      </c>
    </row>
    <row r="137" spans="2:4" x14ac:dyDescent="0.25">
      <c r="B137" s="45" t="s">
        <v>58</v>
      </c>
      <c r="C137" s="46" t="s">
        <v>258</v>
      </c>
      <c r="D137" s="43" t="str">
        <f>VLOOKUP(C137,Tabla_de_Datos_GENERALES!$B$9:$C$21,2,0)</f>
        <v>Platino</v>
      </c>
    </row>
    <row r="138" spans="2:4" x14ac:dyDescent="0.25">
      <c r="B138" s="45" t="s">
        <v>234</v>
      </c>
      <c r="C138" s="46" t="s">
        <v>123</v>
      </c>
      <c r="D138" s="43" t="str">
        <f>VLOOKUP(C138,Tabla_de_Datos_GENERALES!$B$9:$C$21,2,0)</f>
        <v>Plata</v>
      </c>
    </row>
    <row r="139" spans="2:4" x14ac:dyDescent="0.25">
      <c r="B139" s="45" t="s">
        <v>323</v>
      </c>
      <c r="C139" s="47" t="s">
        <v>246</v>
      </c>
      <c r="D139" s="43" t="str">
        <f>VLOOKUP(C139,Tabla_de_Datos_GENERALES!$B$9:$C$21,2,0)</f>
        <v>Bronce</v>
      </c>
    </row>
    <row r="140" spans="2:4" x14ac:dyDescent="0.25">
      <c r="B140" s="45" t="s">
        <v>97</v>
      </c>
      <c r="C140" s="46" t="s">
        <v>265</v>
      </c>
      <c r="D140" s="43" t="str">
        <f>VLOOKUP(C140,Tabla_de_Datos_GENERALES!$B$9:$C$21,2,0)</f>
        <v>Plata</v>
      </c>
    </row>
    <row r="141" spans="2:4" x14ac:dyDescent="0.25">
      <c r="B141" s="45" t="s">
        <v>324</v>
      </c>
      <c r="C141" s="47" t="s">
        <v>246</v>
      </c>
      <c r="D141" s="43" t="str">
        <f>VLOOKUP(C141,Tabla_de_Datos_GENERALES!$B$9:$C$21,2,0)</f>
        <v>Bronce</v>
      </c>
    </row>
    <row r="142" spans="2:4" x14ac:dyDescent="0.25">
      <c r="B142" s="45" t="s">
        <v>55</v>
      </c>
      <c r="C142" s="46" t="s">
        <v>258</v>
      </c>
      <c r="D142" s="43" t="str">
        <f>VLOOKUP(C142,Tabla_de_Datos_GENERALES!$B$9:$C$21,2,0)</f>
        <v>Platino</v>
      </c>
    </row>
    <row r="143" spans="2:4" x14ac:dyDescent="0.25">
      <c r="B143" s="45" t="s">
        <v>63</v>
      </c>
      <c r="C143" s="46" t="s">
        <v>122</v>
      </c>
      <c r="D143" s="43" t="str">
        <f>VLOOKUP(C143,Tabla_de_Datos_GENERALES!$B$9:$C$21,2,0)</f>
        <v>Oro</v>
      </c>
    </row>
    <row r="144" spans="2:4" x14ac:dyDescent="0.25">
      <c r="B144" s="45" t="s">
        <v>235</v>
      </c>
      <c r="C144" s="46" t="s">
        <v>263</v>
      </c>
      <c r="D144" s="43" t="str">
        <f>VLOOKUP(C144,Tabla_de_Datos_GENERALES!$B$9:$C$21,2,0)</f>
        <v>Plata</v>
      </c>
    </row>
    <row r="145" spans="2:4" x14ac:dyDescent="0.25">
      <c r="B145" s="45" t="s">
        <v>325</v>
      </c>
      <c r="C145" s="47" t="s">
        <v>246</v>
      </c>
      <c r="D145" s="43" t="str">
        <f>VLOOKUP(C145,Tabla_de_Datos_GENERALES!$B$9:$C$21,2,0)</f>
        <v>Bronce</v>
      </c>
    </row>
    <row r="146" spans="2:4" x14ac:dyDescent="0.25">
      <c r="B146" s="45" t="s">
        <v>326</v>
      </c>
      <c r="C146" s="47" t="s">
        <v>246</v>
      </c>
      <c r="D146" s="43" t="str">
        <f>VLOOKUP(C146,Tabla_de_Datos_GENERALES!$B$9:$C$21,2,0)</f>
        <v>Bronce</v>
      </c>
    </row>
    <row r="147" spans="2:4" x14ac:dyDescent="0.25">
      <c r="B147" s="45" t="s">
        <v>221</v>
      </c>
      <c r="C147" s="46" t="s">
        <v>261</v>
      </c>
      <c r="D147" s="43" t="str">
        <f>VLOOKUP(C147,Tabla_de_Datos_GENERALES!$B$9:$C$21,2,0)</f>
        <v>Oro</v>
      </c>
    </row>
    <row r="148" spans="2:4" x14ac:dyDescent="0.25">
      <c r="B148" s="45" t="s">
        <v>327</v>
      </c>
      <c r="C148" s="47" t="s">
        <v>246</v>
      </c>
      <c r="D148" s="43" t="str">
        <f>VLOOKUP(C148,Tabla_de_Datos_GENERALES!$B$9:$C$21,2,0)</f>
        <v>Bronce</v>
      </c>
    </row>
    <row r="149" spans="2:4" x14ac:dyDescent="0.25">
      <c r="B149" s="45" t="s">
        <v>328</v>
      </c>
      <c r="C149" s="47" t="s">
        <v>246</v>
      </c>
      <c r="D149" s="43" t="str">
        <f>VLOOKUP(C149,Tabla_de_Datos_GENERALES!$B$9:$C$21,2,0)</f>
        <v>Bronce</v>
      </c>
    </row>
    <row r="150" spans="2:4" x14ac:dyDescent="0.25">
      <c r="B150" s="45" t="s">
        <v>329</v>
      </c>
      <c r="C150" s="47" t="s">
        <v>246</v>
      </c>
      <c r="D150" s="43" t="str">
        <f>VLOOKUP(C150,Tabla_de_Datos_GENERALES!$B$9:$C$21,2,0)</f>
        <v>Bronce</v>
      </c>
    </row>
    <row r="151" spans="2:4" x14ac:dyDescent="0.25">
      <c r="B151" s="45" t="s">
        <v>64</v>
      </c>
      <c r="C151" s="46" t="s">
        <v>122</v>
      </c>
      <c r="D151" s="43" t="str">
        <f>VLOOKUP(C151,Tabla_de_Datos_GENERALES!$B$9:$C$21,2,0)</f>
        <v>Oro</v>
      </c>
    </row>
    <row r="152" spans="2:4" x14ac:dyDescent="0.25">
      <c r="B152" s="135" t="s">
        <v>574</v>
      </c>
      <c r="C152" s="47" t="s">
        <v>246</v>
      </c>
      <c r="D152" s="43" t="str">
        <f>VLOOKUP(C152,Tabla_de_Datos_GENERALES!$B$9:$C$21,2,2)</f>
        <v>Oro</v>
      </c>
    </row>
    <row r="153" spans="2:4" x14ac:dyDescent="0.25">
      <c r="B153" s="135"/>
      <c r="C153" s="47"/>
      <c r="D153" s="43" t="e">
        <f>VLOOKUP(C153,Tabla_de_Datos_GENERALES!$B$9:$C$21,2,2)</f>
        <v>#N/A</v>
      </c>
    </row>
  </sheetData>
  <phoneticPr fontId="4" type="noConversion"/>
  <dataValidations count="1">
    <dataValidation type="list" allowBlank="1" showInputMessage="1" showErrorMessage="1" sqref="I3:I86 G3:G86" xr:uid="{0882CCA2-92EE-4E63-B615-72B8AD1402F9}">
      <formula1>$B$3:$B$153</formula1>
    </dataValidation>
  </dataValidations>
  <pageMargins left="0.7" right="0.7" top="0.75" bottom="0.75" header="0.3" footer="0.3"/>
  <ignoredErrors>
    <ignoredError sqref="J9" evalError="1"/>
  </ignoredErrors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A15CBE-B911-48C1-A96F-D9113E51505C}">
          <x14:formula1>
            <xm:f>Tabla_de_Datos_GENERALES!$B$3:$B$5</xm:f>
          </x14:formula1>
          <xm:sqref>K3:K86</xm:sqref>
        </x14:dataValidation>
        <x14:dataValidation type="list" allowBlank="1" showInputMessage="1" showErrorMessage="1" xr:uid="{DE3B99A6-672D-4EDD-B89B-EC3790206B67}">
          <x14:formula1>
            <xm:f>Tabla_de_Datos_GENERALES!$B$9:$B$21</xm:f>
          </x14:formula1>
          <xm:sqref>C3:C153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C1F-49A8-4576-A201-5F2903160BC9}">
  <sheetPr codeName="Hoja5"/>
  <dimension ref="B2:G35"/>
  <sheetViews>
    <sheetView workbookViewId="0">
      <selection activeCell="D1" sqref="B1:D1048576"/>
    </sheetView>
  </sheetViews>
  <sheetFormatPr baseColWidth="10" defaultRowHeight="15" x14ac:dyDescent="0.25"/>
  <cols>
    <col min="2" max="2" width="31.5703125" style="41" bestFit="1" customWidth="1"/>
    <col min="3" max="3" width="11" style="41" bestFit="1" customWidth="1"/>
    <col min="4" max="4" width="13.140625" style="41" customWidth="1"/>
    <col min="5" max="5" width="5.42578125" customWidth="1"/>
    <col min="6" max="6" width="3.7109375" customWidth="1"/>
    <col min="7" max="7" width="12.85546875" customWidth="1"/>
  </cols>
  <sheetData>
    <row r="2" spans="2:7" x14ac:dyDescent="0.25">
      <c r="B2" s="41" t="s">
        <v>222</v>
      </c>
      <c r="D2" s="41" t="s">
        <v>225</v>
      </c>
      <c r="G2" t="s">
        <v>490</v>
      </c>
    </row>
    <row r="3" spans="2:7" x14ac:dyDescent="0.25">
      <c r="B3" s="41" t="s">
        <v>223</v>
      </c>
      <c r="D3" s="41" t="s">
        <v>0</v>
      </c>
      <c r="G3" t="s">
        <v>491</v>
      </c>
    </row>
    <row r="4" spans="2:7" x14ac:dyDescent="0.25">
      <c r="B4" s="41" t="s">
        <v>174</v>
      </c>
      <c r="D4" s="41" t="s">
        <v>1</v>
      </c>
      <c r="G4" t="s">
        <v>492</v>
      </c>
    </row>
    <row r="5" spans="2:7" x14ac:dyDescent="0.25">
      <c r="B5" s="41" t="s">
        <v>448</v>
      </c>
      <c r="D5" s="41" t="s">
        <v>226</v>
      </c>
      <c r="G5" t="s">
        <v>493</v>
      </c>
    </row>
    <row r="6" spans="2:7" x14ac:dyDescent="0.25">
      <c r="D6" s="41" t="s">
        <v>227</v>
      </c>
    </row>
    <row r="8" spans="2:7" x14ac:dyDescent="0.25">
      <c r="B8" s="41" t="s">
        <v>225</v>
      </c>
      <c r="C8" s="41" t="s">
        <v>236</v>
      </c>
    </row>
    <row r="9" spans="2:7" x14ac:dyDescent="0.25">
      <c r="B9" s="41" t="s">
        <v>258</v>
      </c>
      <c r="C9" s="50" t="s">
        <v>0</v>
      </c>
    </row>
    <row r="10" spans="2:7" x14ac:dyDescent="0.25">
      <c r="B10" s="41" t="s">
        <v>259</v>
      </c>
      <c r="C10" s="50" t="s">
        <v>0</v>
      </c>
    </row>
    <row r="11" spans="2:7" x14ac:dyDescent="0.25">
      <c r="B11" s="46" t="s">
        <v>257</v>
      </c>
      <c r="C11" s="50" t="s">
        <v>0</v>
      </c>
    </row>
    <row r="12" spans="2:7" x14ac:dyDescent="0.25">
      <c r="B12" s="46" t="s">
        <v>260</v>
      </c>
      <c r="C12" s="50" t="s">
        <v>1</v>
      </c>
    </row>
    <row r="13" spans="2:7" x14ac:dyDescent="0.25">
      <c r="B13" s="46" t="s">
        <v>256</v>
      </c>
      <c r="C13" s="50" t="s">
        <v>1</v>
      </c>
    </row>
    <row r="14" spans="2:7" x14ac:dyDescent="0.25">
      <c r="B14" s="46" t="s">
        <v>261</v>
      </c>
      <c r="C14" s="50" t="s">
        <v>1</v>
      </c>
    </row>
    <row r="15" spans="2:7" x14ac:dyDescent="0.25">
      <c r="B15" s="46" t="s">
        <v>122</v>
      </c>
      <c r="C15" s="50" t="s">
        <v>1</v>
      </c>
    </row>
    <row r="16" spans="2:7" x14ac:dyDescent="0.25">
      <c r="B16" s="51" t="s">
        <v>264</v>
      </c>
      <c r="C16" s="50" t="s">
        <v>137</v>
      </c>
    </row>
    <row r="17" spans="2:3" x14ac:dyDescent="0.25">
      <c r="B17" s="46" t="s">
        <v>262</v>
      </c>
      <c r="C17" s="50" t="s">
        <v>137</v>
      </c>
    </row>
    <row r="18" spans="2:3" x14ac:dyDescent="0.25">
      <c r="B18" s="46" t="s">
        <v>265</v>
      </c>
      <c r="C18" s="50" t="s">
        <v>137</v>
      </c>
    </row>
    <row r="19" spans="2:3" x14ac:dyDescent="0.25">
      <c r="B19" s="46" t="s">
        <v>123</v>
      </c>
      <c r="C19" s="50" t="s">
        <v>137</v>
      </c>
    </row>
    <row r="20" spans="2:3" x14ac:dyDescent="0.25">
      <c r="B20" s="46" t="s">
        <v>263</v>
      </c>
      <c r="C20" s="50" t="s">
        <v>137</v>
      </c>
    </row>
    <row r="21" spans="2:3" x14ac:dyDescent="0.25">
      <c r="B21" s="51" t="s">
        <v>246</v>
      </c>
      <c r="C21" s="50" t="s">
        <v>227</v>
      </c>
    </row>
    <row r="22" spans="2:3" x14ac:dyDescent="0.25">
      <c r="B22" s="46"/>
      <c r="C22" s="50"/>
    </row>
    <row r="23" spans="2:3" x14ac:dyDescent="0.25">
      <c r="B23" s="46"/>
      <c r="C23" s="50"/>
    </row>
    <row r="24" spans="2:3" x14ac:dyDescent="0.25">
      <c r="B24" s="51"/>
      <c r="C24" s="50"/>
    </row>
    <row r="25" spans="2:3" x14ac:dyDescent="0.25">
      <c r="B25" s="46"/>
      <c r="C25" s="50"/>
    </row>
    <row r="26" spans="2:3" x14ac:dyDescent="0.25">
      <c r="B26" s="47"/>
      <c r="C26" s="50"/>
    </row>
    <row r="27" spans="2:3" x14ac:dyDescent="0.25">
      <c r="B27" s="51"/>
      <c r="C27" s="50"/>
    </row>
    <row r="28" spans="2:3" x14ac:dyDescent="0.25">
      <c r="B28" s="51"/>
      <c r="C28" s="50"/>
    </row>
    <row r="29" spans="2:3" x14ac:dyDescent="0.25">
      <c r="B29" s="51"/>
      <c r="C29" s="50"/>
    </row>
    <row r="30" spans="2:3" x14ac:dyDescent="0.25">
      <c r="B30" s="51"/>
      <c r="C30" s="50"/>
    </row>
    <row r="31" spans="2:3" x14ac:dyDescent="0.25">
      <c r="B31" s="47"/>
      <c r="C31" s="50"/>
    </row>
    <row r="32" spans="2:3" x14ac:dyDescent="0.25">
      <c r="B32" s="47"/>
      <c r="C32" s="50"/>
    </row>
    <row r="33" spans="3:3" x14ac:dyDescent="0.25">
      <c r="C33" s="50"/>
    </row>
    <row r="34" spans="3:3" x14ac:dyDescent="0.25">
      <c r="C34" s="50"/>
    </row>
    <row r="35" spans="3:3" x14ac:dyDescent="0.25">
      <c r="C35" s="50"/>
    </row>
  </sheetData>
  <phoneticPr fontId="4" type="noConversion"/>
  <pageMargins left="0.7" right="0.7" top="0.75" bottom="0.75" header="0.3" footer="0.3"/>
  <pageSetup paperSize="9" orientation="portrait" horizontalDpi="360" verticalDpi="360" r:id="rId1"/>
  <legacyDrawing r:id="rId2"/>
  <tableParts count="4"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2169-6C64-40D4-BCFC-5699D52699E1}">
  <dimension ref="B2:L42"/>
  <sheetViews>
    <sheetView topLeftCell="A4" workbookViewId="0">
      <selection activeCell="B27" sqref="B27"/>
    </sheetView>
  </sheetViews>
  <sheetFormatPr baseColWidth="10" defaultRowHeight="12" x14ac:dyDescent="0.2"/>
  <cols>
    <col min="1" max="1" width="2.140625" style="101" customWidth="1"/>
    <col min="2" max="2" width="12.5703125" style="101" bestFit="1" customWidth="1"/>
    <col min="3" max="3" width="28.5703125" style="101" bestFit="1" customWidth="1"/>
    <col min="4" max="4" width="12.5703125" style="101" bestFit="1" customWidth="1"/>
    <col min="5" max="5" width="18.28515625" style="101" bestFit="1" customWidth="1"/>
    <col min="6" max="6" width="12.85546875" style="101" bestFit="1" customWidth="1"/>
    <col min="7" max="7" width="13.140625" style="99" bestFit="1" customWidth="1"/>
    <col min="8" max="8" width="4.7109375" style="100" customWidth="1"/>
    <col min="9" max="9" width="11.85546875" style="101" customWidth="1"/>
    <col min="10" max="10" width="19" style="101" customWidth="1"/>
    <col min="11" max="11" width="3.85546875" style="100" customWidth="1"/>
    <col min="12" max="12" width="23.28515625" style="101" bestFit="1" customWidth="1"/>
    <col min="13" max="16384" width="11.42578125" style="101"/>
  </cols>
  <sheetData>
    <row r="2" spans="2:12" x14ac:dyDescent="0.2">
      <c r="B2" s="169"/>
      <c r="C2" s="169"/>
      <c r="D2" s="169"/>
      <c r="E2" s="169"/>
      <c r="F2" s="169"/>
    </row>
    <row r="3" spans="2:12" x14ac:dyDescent="0.2">
      <c r="B3" s="102" t="s">
        <v>429</v>
      </c>
      <c r="C3" s="102" t="s">
        <v>430</v>
      </c>
      <c r="D3" s="102" t="s">
        <v>330</v>
      </c>
      <c r="E3" s="102" t="s">
        <v>331</v>
      </c>
      <c r="F3" s="103" t="s">
        <v>332</v>
      </c>
      <c r="G3" s="102" t="s">
        <v>447</v>
      </c>
      <c r="I3" s="104" t="s">
        <v>333</v>
      </c>
      <c r="J3" s="105" t="s">
        <v>452</v>
      </c>
      <c r="L3" s="104" t="s">
        <v>449</v>
      </c>
    </row>
    <row r="4" spans="2:12" x14ac:dyDescent="0.2">
      <c r="B4" s="106" t="s">
        <v>336</v>
      </c>
      <c r="C4" s="106" t="s">
        <v>337</v>
      </c>
      <c r="D4" s="106" t="s">
        <v>338</v>
      </c>
      <c r="E4" s="112">
        <v>15</v>
      </c>
      <c r="F4" s="106">
        <v>1</v>
      </c>
      <c r="G4" s="106" t="s">
        <v>223</v>
      </c>
      <c r="I4" s="106" t="s">
        <v>334</v>
      </c>
      <c r="J4" s="107" t="s">
        <v>335</v>
      </c>
      <c r="L4" s="108" t="s">
        <v>339</v>
      </c>
    </row>
    <row r="5" spans="2:12" x14ac:dyDescent="0.2">
      <c r="B5" s="106" t="s">
        <v>342</v>
      </c>
      <c r="C5" s="106" t="s">
        <v>343</v>
      </c>
      <c r="D5" s="106" t="s">
        <v>338</v>
      </c>
      <c r="E5" s="112">
        <v>15.5</v>
      </c>
      <c r="F5" s="106">
        <v>1</v>
      </c>
      <c r="G5" s="106" t="s">
        <v>223</v>
      </c>
      <c r="I5" s="106" t="s">
        <v>340</v>
      </c>
      <c r="J5" s="107" t="s">
        <v>341</v>
      </c>
      <c r="L5" s="108" t="s">
        <v>450</v>
      </c>
    </row>
    <row r="6" spans="2:12" x14ac:dyDescent="0.2">
      <c r="B6" s="106" t="s">
        <v>346</v>
      </c>
      <c r="C6" s="106" t="s">
        <v>347</v>
      </c>
      <c r="D6" s="106" t="s">
        <v>338</v>
      </c>
      <c r="E6" s="112">
        <v>18</v>
      </c>
      <c r="F6" s="106">
        <v>3</v>
      </c>
      <c r="G6" s="106" t="s">
        <v>223</v>
      </c>
      <c r="I6" s="106" t="s">
        <v>344</v>
      </c>
      <c r="J6" s="107" t="s">
        <v>345</v>
      </c>
      <c r="L6" s="101" t="s">
        <v>451</v>
      </c>
    </row>
    <row r="7" spans="2:12" x14ac:dyDescent="0.2">
      <c r="B7" s="106" t="s">
        <v>378</v>
      </c>
      <c r="C7" s="106" t="s">
        <v>379</v>
      </c>
      <c r="D7" s="106" t="s">
        <v>224</v>
      </c>
      <c r="E7" s="112">
        <v>17</v>
      </c>
      <c r="F7" s="106">
        <v>3</v>
      </c>
      <c r="G7" s="106" t="s">
        <v>223</v>
      </c>
      <c r="I7" s="106" t="s">
        <v>348</v>
      </c>
      <c r="J7" s="107" t="s">
        <v>349</v>
      </c>
    </row>
    <row r="8" spans="2:12" x14ac:dyDescent="0.2">
      <c r="B8" s="106" t="s">
        <v>381</v>
      </c>
      <c r="C8" s="106" t="s">
        <v>382</v>
      </c>
      <c r="D8" s="106" t="s">
        <v>224</v>
      </c>
      <c r="E8" s="112">
        <v>17</v>
      </c>
      <c r="F8" s="106">
        <v>2</v>
      </c>
      <c r="G8" s="106" t="s">
        <v>223</v>
      </c>
      <c r="I8" s="106" t="s">
        <v>350</v>
      </c>
      <c r="J8" s="107" t="s">
        <v>351</v>
      </c>
      <c r="L8" s="104" t="s">
        <v>455</v>
      </c>
    </row>
    <row r="9" spans="2:12" x14ac:dyDescent="0.2">
      <c r="B9" s="106" t="s">
        <v>385</v>
      </c>
      <c r="C9" s="106" t="s">
        <v>386</v>
      </c>
      <c r="D9" s="106" t="s">
        <v>224</v>
      </c>
      <c r="E9" s="112">
        <v>15</v>
      </c>
      <c r="F9" s="106">
        <v>3</v>
      </c>
      <c r="G9" s="106" t="s">
        <v>223</v>
      </c>
      <c r="I9" s="106" t="s">
        <v>352</v>
      </c>
      <c r="J9" s="107" t="s">
        <v>353</v>
      </c>
      <c r="L9" s="101" t="s">
        <v>458</v>
      </c>
    </row>
    <row r="10" spans="2:12" x14ac:dyDescent="0.2">
      <c r="B10" s="106" t="s">
        <v>390</v>
      </c>
      <c r="C10" s="106" t="s">
        <v>391</v>
      </c>
      <c r="D10" s="106" t="s">
        <v>224</v>
      </c>
      <c r="E10" s="112">
        <v>15</v>
      </c>
      <c r="F10" s="106">
        <v>1</v>
      </c>
      <c r="G10" s="106" t="s">
        <v>223</v>
      </c>
      <c r="I10" s="106" t="s">
        <v>354</v>
      </c>
      <c r="J10" s="107" t="s">
        <v>355</v>
      </c>
      <c r="L10" s="101" t="s">
        <v>459</v>
      </c>
    </row>
    <row r="11" spans="2:12" x14ac:dyDescent="0.2">
      <c r="B11" s="106" t="s">
        <v>392</v>
      </c>
      <c r="C11" s="106" t="s">
        <v>393</v>
      </c>
      <c r="D11" s="106" t="s">
        <v>224</v>
      </c>
      <c r="E11" s="112">
        <v>17</v>
      </c>
      <c r="F11" s="106">
        <v>2</v>
      </c>
      <c r="G11" s="106" t="s">
        <v>223</v>
      </c>
      <c r="I11" s="106" t="s">
        <v>356</v>
      </c>
      <c r="J11" s="107" t="s">
        <v>357</v>
      </c>
      <c r="L11" s="101" t="s">
        <v>460</v>
      </c>
    </row>
    <row r="12" spans="2:12" x14ac:dyDescent="0.2">
      <c r="B12" s="106" t="s">
        <v>395</v>
      </c>
      <c r="C12" s="106" t="s">
        <v>396</v>
      </c>
      <c r="D12" s="106" t="s">
        <v>224</v>
      </c>
      <c r="E12" s="112">
        <v>17</v>
      </c>
      <c r="F12" s="106">
        <v>2</v>
      </c>
      <c r="G12" s="106" t="s">
        <v>223</v>
      </c>
      <c r="I12" s="106" t="s">
        <v>358</v>
      </c>
      <c r="J12" s="107" t="s">
        <v>359</v>
      </c>
      <c r="L12" s="101" t="s">
        <v>461</v>
      </c>
    </row>
    <row r="13" spans="2:12" x14ac:dyDescent="0.2">
      <c r="B13" s="106" t="s">
        <v>399</v>
      </c>
      <c r="C13" s="106" t="s">
        <v>400</v>
      </c>
      <c r="D13" s="106" t="s">
        <v>224</v>
      </c>
      <c r="E13" s="112">
        <v>17</v>
      </c>
      <c r="F13" s="106">
        <v>2</v>
      </c>
      <c r="G13" s="106" t="s">
        <v>223</v>
      </c>
      <c r="I13" s="106" t="s">
        <v>360</v>
      </c>
      <c r="J13" s="107" t="s">
        <v>361</v>
      </c>
      <c r="L13" s="101" t="s">
        <v>462</v>
      </c>
    </row>
    <row r="14" spans="2:12" x14ac:dyDescent="0.2">
      <c r="B14" s="106" t="s">
        <v>403</v>
      </c>
      <c r="C14" s="106" t="s">
        <v>404</v>
      </c>
      <c r="D14" s="106" t="s">
        <v>224</v>
      </c>
      <c r="E14" s="112">
        <v>15</v>
      </c>
      <c r="F14" s="106">
        <v>1</v>
      </c>
      <c r="G14" s="106" t="s">
        <v>223</v>
      </c>
      <c r="I14" s="106" t="s">
        <v>362</v>
      </c>
      <c r="J14" s="107" t="s">
        <v>363</v>
      </c>
      <c r="L14" s="101" t="s">
        <v>463</v>
      </c>
    </row>
    <row r="15" spans="2:12" x14ac:dyDescent="0.2">
      <c r="B15" s="106" t="s">
        <v>407</v>
      </c>
      <c r="C15" s="106" t="s">
        <v>408</v>
      </c>
      <c r="D15" s="106" t="s">
        <v>224</v>
      </c>
      <c r="E15" s="112">
        <v>17</v>
      </c>
      <c r="F15" s="106">
        <v>3</v>
      </c>
      <c r="G15" s="106" t="s">
        <v>223</v>
      </c>
      <c r="I15" s="106" t="s">
        <v>364</v>
      </c>
      <c r="J15" s="107" t="s">
        <v>365</v>
      </c>
      <c r="L15" s="101" t="s">
        <v>464</v>
      </c>
    </row>
    <row r="16" spans="2:12" x14ac:dyDescent="0.2">
      <c r="B16" s="106" t="s">
        <v>411</v>
      </c>
      <c r="C16" s="106" t="s">
        <v>412</v>
      </c>
      <c r="D16" s="106" t="s">
        <v>224</v>
      </c>
      <c r="E16" s="112">
        <v>18</v>
      </c>
      <c r="F16" s="113">
        <v>3</v>
      </c>
      <c r="G16" s="106" t="s">
        <v>223</v>
      </c>
      <c r="I16" s="106" t="s">
        <v>366</v>
      </c>
      <c r="J16" s="107" t="s">
        <v>367</v>
      </c>
      <c r="L16" s="101" t="s">
        <v>465</v>
      </c>
    </row>
    <row r="17" spans="2:12" x14ac:dyDescent="0.2">
      <c r="B17" s="106" t="s">
        <v>421</v>
      </c>
      <c r="C17" s="106" t="s">
        <v>422</v>
      </c>
      <c r="D17" s="106" t="s">
        <v>416</v>
      </c>
      <c r="E17" s="112">
        <v>18</v>
      </c>
      <c r="F17" s="113">
        <v>2</v>
      </c>
      <c r="G17" s="106" t="s">
        <v>223</v>
      </c>
      <c r="I17" s="106" t="s">
        <v>368</v>
      </c>
      <c r="J17" s="107" t="s">
        <v>369</v>
      </c>
      <c r="L17" s="101" t="s">
        <v>466</v>
      </c>
    </row>
    <row r="18" spans="2:12" x14ac:dyDescent="0.2">
      <c r="B18" s="106" t="s">
        <v>426</v>
      </c>
      <c r="C18" s="106" t="s">
        <v>427</v>
      </c>
      <c r="D18" s="106" t="s">
        <v>428</v>
      </c>
      <c r="E18" s="112">
        <v>18</v>
      </c>
      <c r="F18" s="106">
        <v>1</v>
      </c>
      <c r="G18" s="106" t="s">
        <v>223</v>
      </c>
      <c r="I18" s="106" t="s">
        <v>370</v>
      </c>
      <c r="J18" s="107" t="s">
        <v>371</v>
      </c>
      <c r="L18" s="101" t="s">
        <v>467</v>
      </c>
    </row>
    <row r="19" spans="2:12" x14ac:dyDescent="0.2">
      <c r="B19" s="106" t="s">
        <v>378</v>
      </c>
      <c r="C19" s="106" t="s">
        <v>379</v>
      </c>
      <c r="D19" s="106" t="s">
        <v>224</v>
      </c>
      <c r="E19" s="112">
        <v>17</v>
      </c>
      <c r="F19" s="113">
        <v>2</v>
      </c>
      <c r="G19" s="106" t="s">
        <v>448</v>
      </c>
      <c r="I19" s="106" t="s">
        <v>372</v>
      </c>
      <c r="J19" s="109" t="s">
        <v>373</v>
      </c>
      <c r="L19" s="101" t="s">
        <v>468</v>
      </c>
    </row>
    <row r="20" spans="2:12" x14ac:dyDescent="0.2">
      <c r="B20" s="106" t="s">
        <v>381</v>
      </c>
      <c r="C20" s="106" t="s">
        <v>382</v>
      </c>
      <c r="D20" s="106" t="s">
        <v>224</v>
      </c>
      <c r="E20" s="112">
        <v>17</v>
      </c>
      <c r="F20" s="113">
        <v>2</v>
      </c>
      <c r="G20" s="106" t="s">
        <v>448</v>
      </c>
      <c r="I20" s="106" t="s">
        <v>374</v>
      </c>
      <c r="J20" s="107" t="s">
        <v>375</v>
      </c>
      <c r="L20" s="101" t="s">
        <v>469</v>
      </c>
    </row>
    <row r="21" spans="2:12" x14ac:dyDescent="0.2">
      <c r="B21" s="106" t="s">
        <v>385</v>
      </c>
      <c r="C21" s="106" t="s">
        <v>386</v>
      </c>
      <c r="D21" s="106" t="s">
        <v>224</v>
      </c>
      <c r="E21" s="112">
        <v>17</v>
      </c>
      <c r="F21" s="113">
        <v>2</v>
      </c>
      <c r="G21" s="106" t="s">
        <v>448</v>
      </c>
      <c r="I21" s="106" t="s">
        <v>376</v>
      </c>
      <c r="J21" s="107" t="s">
        <v>377</v>
      </c>
      <c r="L21" s="101" t="s">
        <v>470</v>
      </c>
    </row>
    <row r="22" spans="2:12" x14ac:dyDescent="0.2">
      <c r="B22" s="106" t="s">
        <v>390</v>
      </c>
      <c r="C22" s="106" t="s">
        <v>391</v>
      </c>
      <c r="D22" s="106" t="s">
        <v>224</v>
      </c>
      <c r="E22" s="112">
        <v>17</v>
      </c>
      <c r="F22" s="113">
        <v>2</v>
      </c>
      <c r="G22" s="106" t="s">
        <v>448</v>
      </c>
      <c r="I22" s="106" t="s">
        <v>380</v>
      </c>
      <c r="J22" s="107" t="s">
        <v>380</v>
      </c>
      <c r="L22" s="101" t="s">
        <v>471</v>
      </c>
    </row>
    <row r="23" spans="2:12" x14ac:dyDescent="0.2">
      <c r="B23" s="106" t="s">
        <v>392</v>
      </c>
      <c r="C23" s="106" t="s">
        <v>393</v>
      </c>
      <c r="D23" s="106" t="s">
        <v>224</v>
      </c>
      <c r="E23" s="112">
        <v>17</v>
      </c>
      <c r="F23" s="113">
        <v>2</v>
      </c>
      <c r="G23" s="106" t="s">
        <v>448</v>
      </c>
      <c r="I23" s="106" t="s">
        <v>383</v>
      </c>
      <c r="J23" s="107" t="s">
        <v>384</v>
      </c>
      <c r="L23" s="101" t="s">
        <v>472</v>
      </c>
    </row>
    <row r="24" spans="2:12" x14ac:dyDescent="0.2">
      <c r="B24" s="106" t="s">
        <v>395</v>
      </c>
      <c r="C24" s="106" t="s">
        <v>396</v>
      </c>
      <c r="D24" s="106" t="s">
        <v>224</v>
      </c>
      <c r="E24" s="112">
        <v>17</v>
      </c>
      <c r="F24" s="113">
        <v>2</v>
      </c>
      <c r="G24" s="106" t="s">
        <v>448</v>
      </c>
      <c r="I24" s="106" t="s">
        <v>387</v>
      </c>
      <c r="J24" s="107" t="s">
        <v>388</v>
      </c>
      <c r="L24" s="101" t="s">
        <v>473</v>
      </c>
    </row>
    <row r="25" spans="2:12" x14ac:dyDescent="0.2">
      <c r="B25" s="106" t="s">
        <v>399</v>
      </c>
      <c r="C25" s="106" t="s">
        <v>400</v>
      </c>
      <c r="D25" s="106" t="s">
        <v>224</v>
      </c>
      <c r="E25" s="112">
        <v>17</v>
      </c>
      <c r="F25" s="113">
        <v>2</v>
      </c>
      <c r="G25" s="106" t="s">
        <v>448</v>
      </c>
      <c r="I25" s="106" t="s">
        <v>389</v>
      </c>
      <c r="J25" s="110" t="s">
        <v>389</v>
      </c>
      <c r="L25" s="101" t="s">
        <v>474</v>
      </c>
    </row>
    <row r="26" spans="2:12" x14ac:dyDescent="0.2">
      <c r="B26" s="106" t="s">
        <v>407</v>
      </c>
      <c r="C26" s="106" t="s">
        <v>408</v>
      </c>
      <c r="D26" s="106" t="s">
        <v>224</v>
      </c>
      <c r="E26" s="112">
        <v>17</v>
      </c>
      <c r="F26" s="113">
        <v>2</v>
      </c>
      <c r="G26" s="106" t="s">
        <v>448</v>
      </c>
      <c r="I26" s="106"/>
      <c r="J26" s="111"/>
      <c r="L26" s="101" t="s">
        <v>475</v>
      </c>
    </row>
    <row r="27" spans="2:12" x14ac:dyDescent="0.2">
      <c r="B27" s="106" t="s">
        <v>411</v>
      </c>
      <c r="C27" s="106" t="s">
        <v>412</v>
      </c>
      <c r="D27" s="106" t="s">
        <v>224</v>
      </c>
      <c r="E27" s="112">
        <v>18</v>
      </c>
      <c r="F27" s="113">
        <v>2</v>
      </c>
      <c r="G27" s="106" t="s">
        <v>448</v>
      </c>
      <c r="I27" s="107" t="s">
        <v>394</v>
      </c>
      <c r="J27" s="107" t="s">
        <v>453</v>
      </c>
      <c r="L27" s="101" t="s">
        <v>476</v>
      </c>
    </row>
    <row r="28" spans="2:12" x14ac:dyDescent="0.2">
      <c r="B28" s="106" t="s">
        <v>336</v>
      </c>
      <c r="C28" s="106" t="s">
        <v>337</v>
      </c>
      <c r="D28" s="106" t="s">
        <v>338</v>
      </c>
      <c r="E28" s="112">
        <v>15</v>
      </c>
      <c r="F28" s="106">
        <v>1</v>
      </c>
      <c r="G28" s="106" t="s">
        <v>174</v>
      </c>
      <c r="I28" s="106" t="s">
        <v>397</v>
      </c>
      <c r="J28" s="107" t="s">
        <v>398</v>
      </c>
      <c r="L28" s="101" t="s">
        <v>477</v>
      </c>
    </row>
    <row r="29" spans="2:12" x14ac:dyDescent="0.2">
      <c r="B29" s="106" t="s">
        <v>342</v>
      </c>
      <c r="C29" s="106" t="s">
        <v>343</v>
      </c>
      <c r="D29" s="106" t="s">
        <v>338</v>
      </c>
      <c r="E29" s="112">
        <v>15.5</v>
      </c>
      <c r="F29" s="106">
        <v>1</v>
      </c>
      <c r="G29" s="106" t="s">
        <v>174</v>
      </c>
      <c r="I29" s="106" t="s">
        <v>401</v>
      </c>
      <c r="J29" s="107" t="s">
        <v>402</v>
      </c>
      <c r="L29" s="101" t="s">
        <v>478</v>
      </c>
    </row>
    <row r="30" spans="2:12" x14ac:dyDescent="0.2">
      <c r="B30" s="106" t="s">
        <v>346</v>
      </c>
      <c r="C30" s="106" t="s">
        <v>347</v>
      </c>
      <c r="D30" s="106" t="s">
        <v>338</v>
      </c>
      <c r="E30" s="112">
        <v>18</v>
      </c>
      <c r="F30" s="106">
        <v>3</v>
      </c>
      <c r="G30" s="106" t="s">
        <v>174</v>
      </c>
      <c r="I30" s="106" t="s">
        <v>405</v>
      </c>
      <c r="J30" s="107" t="s">
        <v>406</v>
      </c>
      <c r="L30" s="101" t="s">
        <v>479</v>
      </c>
    </row>
    <row r="31" spans="2:12" x14ac:dyDescent="0.2">
      <c r="B31" s="106" t="s">
        <v>378</v>
      </c>
      <c r="C31" s="106" t="s">
        <v>379</v>
      </c>
      <c r="D31" s="106" t="s">
        <v>224</v>
      </c>
      <c r="E31" s="112">
        <v>17</v>
      </c>
      <c r="F31" s="106">
        <v>3</v>
      </c>
      <c r="G31" s="106" t="s">
        <v>174</v>
      </c>
      <c r="I31" s="106" t="s">
        <v>409</v>
      </c>
      <c r="J31" s="107" t="s">
        <v>410</v>
      </c>
      <c r="L31" s="101" t="s">
        <v>480</v>
      </c>
    </row>
    <row r="32" spans="2:12" x14ac:dyDescent="0.2">
      <c r="B32" s="106" t="s">
        <v>381</v>
      </c>
      <c r="C32" s="106" t="s">
        <v>382</v>
      </c>
      <c r="D32" s="106" t="s">
        <v>224</v>
      </c>
      <c r="E32" s="112">
        <v>17</v>
      </c>
      <c r="F32" s="106">
        <v>2</v>
      </c>
      <c r="G32" s="106" t="s">
        <v>174</v>
      </c>
      <c r="I32" s="106"/>
      <c r="J32" s="111"/>
      <c r="L32" s="101" t="s">
        <v>481</v>
      </c>
    </row>
    <row r="33" spans="2:10" x14ac:dyDescent="0.2">
      <c r="B33" s="106" t="s">
        <v>385</v>
      </c>
      <c r="C33" s="106" t="s">
        <v>386</v>
      </c>
      <c r="D33" s="106" t="s">
        <v>224</v>
      </c>
      <c r="E33" s="112">
        <v>15</v>
      </c>
      <c r="F33" s="106">
        <v>3</v>
      </c>
      <c r="G33" s="106" t="s">
        <v>174</v>
      </c>
      <c r="I33" s="107" t="s">
        <v>413</v>
      </c>
      <c r="J33" s="107" t="s">
        <v>454</v>
      </c>
    </row>
    <row r="34" spans="2:10" x14ac:dyDescent="0.2">
      <c r="B34" s="106" t="s">
        <v>390</v>
      </c>
      <c r="C34" s="106" t="s">
        <v>391</v>
      </c>
      <c r="D34" s="106" t="s">
        <v>224</v>
      </c>
      <c r="E34" s="112">
        <v>15</v>
      </c>
      <c r="F34" s="106">
        <v>1</v>
      </c>
      <c r="G34" s="106" t="s">
        <v>174</v>
      </c>
      <c r="I34" s="106" t="s">
        <v>414</v>
      </c>
      <c r="J34" s="107" t="s">
        <v>415</v>
      </c>
    </row>
    <row r="35" spans="2:10" x14ac:dyDescent="0.2">
      <c r="B35" s="106" t="s">
        <v>392</v>
      </c>
      <c r="C35" s="106" t="s">
        <v>393</v>
      </c>
      <c r="D35" s="106" t="s">
        <v>224</v>
      </c>
      <c r="E35" s="112">
        <v>17</v>
      </c>
      <c r="F35" s="106">
        <v>2</v>
      </c>
      <c r="G35" s="106" t="s">
        <v>174</v>
      </c>
      <c r="I35" s="106" t="s">
        <v>417</v>
      </c>
      <c r="J35" s="107" t="s">
        <v>418</v>
      </c>
    </row>
    <row r="36" spans="2:10" x14ac:dyDescent="0.2">
      <c r="B36" s="106" t="s">
        <v>395</v>
      </c>
      <c r="C36" s="106" t="s">
        <v>396</v>
      </c>
      <c r="D36" s="106" t="s">
        <v>224</v>
      </c>
      <c r="E36" s="112">
        <v>17</v>
      </c>
      <c r="F36" s="106">
        <v>2</v>
      </c>
      <c r="G36" s="106" t="s">
        <v>174</v>
      </c>
      <c r="I36" s="106" t="s">
        <v>419</v>
      </c>
      <c r="J36" s="107" t="s">
        <v>420</v>
      </c>
    </row>
    <row r="37" spans="2:10" x14ac:dyDescent="0.2">
      <c r="B37" s="106" t="s">
        <v>399</v>
      </c>
      <c r="C37" s="106" t="s">
        <v>400</v>
      </c>
      <c r="D37" s="106" t="s">
        <v>224</v>
      </c>
      <c r="E37" s="112">
        <v>17</v>
      </c>
      <c r="F37" s="106">
        <v>2</v>
      </c>
      <c r="G37" s="106" t="s">
        <v>174</v>
      </c>
      <c r="I37" s="106" t="s">
        <v>423</v>
      </c>
      <c r="J37" s="107" t="s">
        <v>483</v>
      </c>
    </row>
    <row r="38" spans="2:10" x14ac:dyDescent="0.2">
      <c r="B38" s="106" t="s">
        <v>403</v>
      </c>
      <c r="C38" s="106" t="s">
        <v>404</v>
      </c>
      <c r="D38" s="106" t="s">
        <v>224</v>
      </c>
      <c r="E38" s="112">
        <v>15</v>
      </c>
      <c r="F38" s="106">
        <v>1</v>
      </c>
      <c r="G38" s="106" t="s">
        <v>174</v>
      </c>
      <c r="I38" s="106" t="s">
        <v>424</v>
      </c>
      <c r="J38" s="107" t="s">
        <v>425</v>
      </c>
    </row>
    <row r="39" spans="2:10" x14ac:dyDescent="0.2">
      <c r="B39" s="106" t="s">
        <v>407</v>
      </c>
      <c r="C39" s="106" t="s">
        <v>408</v>
      </c>
      <c r="D39" s="106" t="s">
        <v>224</v>
      </c>
      <c r="E39" s="112">
        <v>17</v>
      </c>
      <c r="F39" s="106">
        <v>3</v>
      </c>
      <c r="G39" s="106" t="s">
        <v>174</v>
      </c>
    </row>
    <row r="40" spans="2:10" x14ac:dyDescent="0.2">
      <c r="B40" s="106" t="s">
        <v>411</v>
      </c>
      <c r="C40" s="106" t="s">
        <v>412</v>
      </c>
      <c r="D40" s="106" t="s">
        <v>224</v>
      </c>
      <c r="E40" s="112">
        <v>18</v>
      </c>
      <c r="F40" s="113">
        <v>3</v>
      </c>
      <c r="G40" s="106" t="s">
        <v>174</v>
      </c>
    </row>
    <row r="41" spans="2:10" x14ac:dyDescent="0.2">
      <c r="B41" s="106" t="s">
        <v>421</v>
      </c>
      <c r="C41" s="106" t="s">
        <v>422</v>
      </c>
      <c r="D41" s="106" t="s">
        <v>416</v>
      </c>
      <c r="E41" s="112">
        <v>18</v>
      </c>
      <c r="F41" s="113">
        <v>2</v>
      </c>
      <c r="G41" s="106" t="s">
        <v>174</v>
      </c>
    </row>
    <row r="42" spans="2:10" x14ac:dyDescent="0.2">
      <c r="B42" s="106" t="s">
        <v>426</v>
      </c>
      <c r="C42" s="106" t="s">
        <v>427</v>
      </c>
      <c r="D42" s="106" t="s">
        <v>428</v>
      </c>
      <c r="E42" s="112">
        <v>18</v>
      </c>
      <c r="F42" s="106">
        <v>1</v>
      </c>
      <c r="G42" s="106" t="s">
        <v>174</v>
      </c>
    </row>
  </sheetData>
  <mergeCells count="1">
    <mergeCell ref="B2:F2"/>
  </mergeCells>
  <phoneticPr fontId="4" type="noConversion"/>
  <pageMargins left="0.7" right="0.7" top="0.75" bottom="0.75" header="0.3" footer="0.3"/>
  <pageSetup paperSize="9" orientation="portrait" horizontalDpi="360" verticalDpi="360" r:id="rId1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30BEE5-E2A8-4891-8297-6EBFE1C6C67B}">
          <x14:formula1>
            <xm:f>Tabla_de_Datos_GENERALES!$B$3:$B$5</xm:f>
          </x14:formula1>
          <xm:sqref>G4:G42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A581-72AC-48E5-AB79-7D9BCD189A7C}">
  <dimension ref="C1:Q51"/>
  <sheetViews>
    <sheetView topLeftCell="A37" zoomScaleNormal="100" workbookViewId="0">
      <selection activeCell="C46" sqref="C46:F46"/>
    </sheetView>
  </sheetViews>
  <sheetFormatPr baseColWidth="10" defaultColWidth="9.140625" defaultRowHeight="15" x14ac:dyDescent="0.25"/>
  <cols>
    <col min="1" max="1" width="0.5703125" style="134" customWidth="1"/>
    <col min="2" max="2" width="9.28515625" style="134" customWidth="1"/>
    <col min="3" max="3" width="21.42578125" style="134" bestFit="1" customWidth="1"/>
    <col min="4" max="4" width="8.85546875" style="134" bestFit="1" customWidth="1"/>
    <col min="5" max="5" width="7" style="135" bestFit="1" customWidth="1"/>
    <col min="6" max="6" width="12.85546875" style="135" customWidth="1"/>
    <col min="7" max="7" width="18.140625" style="135" customWidth="1"/>
    <col min="8" max="8" width="13.28515625" style="135" customWidth="1"/>
    <col min="9" max="9" width="8" style="135" bestFit="1" customWidth="1"/>
    <col min="10" max="10" width="13.42578125" style="135" customWidth="1"/>
    <col min="11" max="11" width="2.85546875" style="134" hidden="1" customWidth="1"/>
    <col min="12" max="12" width="26.28515625" style="134" bestFit="1" customWidth="1"/>
    <col min="13" max="15" width="7.28515625" style="134" bestFit="1" customWidth="1"/>
    <col min="16" max="16" width="9.140625" style="134"/>
    <col min="17" max="17" width="17.7109375" style="134" customWidth="1"/>
    <col min="18" max="16384" width="9.140625" style="134"/>
  </cols>
  <sheetData>
    <row r="1" spans="3:17" ht="15.75" thickBot="1" x14ac:dyDescent="0.3"/>
    <row r="2" spans="3:17" x14ac:dyDescent="0.25">
      <c r="C2" s="303" t="s">
        <v>198</v>
      </c>
      <c r="D2" s="303" t="s">
        <v>199</v>
      </c>
      <c r="E2" s="305" t="s">
        <v>496</v>
      </c>
      <c r="F2" s="306"/>
      <c r="G2" s="307"/>
      <c r="H2" s="308" t="s">
        <v>187</v>
      </c>
      <c r="I2" s="309"/>
      <c r="J2" s="136" t="s">
        <v>174</v>
      </c>
      <c r="L2" s="310" t="s">
        <v>497</v>
      </c>
      <c r="M2" s="311"/>
      <c r="N2" s="311"/>
      <c r="O2" s="312"/>
      <c r="P2" s="137"/>
      <c r="Q2" s="137"/>
    </row>
    <row r="3" spans="3:17" ht="15.75" thickBot="1" x14ac:dyDescent="0.3">
      <c r="C3" s="304"/>
      <c r="D3" s="304"/>
      <c r="E3" s="130" t="s">
        <v>177</v>
      </c>
      <c r="F3" s="131" t="s">
        <v>178</v>
      </c>
      <c r="G3" s="132" t="s">
        <v>179</v>
      </c>
      <c r="H3" s="138" t="s">
        <v>173</v>
      </c>
      <c r="I3" s="132" t="s">
        <v>180</v>
      </c>
      <c r="J3" s="132" t="s">
        <v>180</v>
      </c>
      <c r="L3" s="313"/>
      <c r="M3" s="314"/>
      <c r="N3" s="314"/>
      <c r="O3" s="315"/>
      <c r="P3" s="137"/>
      <c r="Q3" s="137"/>
    </row>
    <row r="4" spans="3:17" ht="15.75" thickBot="1" x14ac:dyDescent="0.3">
      <c r="C4" s="316" t="s">
        <v>181</v>
      </c>
      <c r="D4" s="317" t="s">
        <v>181</v>
      </c>
      <c r="E4" s="319" t="s">
        <v>183</v>
      </c>
      <c r="F4" s="321" t="s">
        <v>182</v>
      </c>
      <c r="G4" s="323" t="s">
        <v>182</v>
      </c>
      <c r="H4" s="299" t="s">
        <v>184</v>
      </c>
      <c r="I4" s="254" t="s">
        <v>185</v>
      </c>
      <c r="J4" s="282" t="s">
        <v>186</v>
      </c>
      <c r="L4" s="300" t="s">
        <v>175</v>
      </c>
      <c r="M4" s="301"/>
      <c r="N4" s="301"/>
      <c r="O4" s="302"/>
      <c r="P4" s="257"/>
      <c r="Q4" s="257"/>
    </row>
    <row r="5" spans="3:17" ht="15.75" thickBot="1" x14ac:dyDescent="0.3">
      <c r="C5" s="296"/>
      <c r="D5" s="318"/>
      <c r="E5" s="320"/>
      <c r="F5" s="322"/>
      <c r="G5" s="324"/>
      <c r="H5" s="298"/>
      <c r="I5" s="255"/>
      <c r="J5" s="283"/>
      <c r="L5" s="139"/>
      <c r="M5" s="140" t="s">
        <v>507</v>
      </c>
      <c r="N5" s="140" t="s">
        <v>508</v>
      </c>
      <c r="O5" s="141" t="s">
        <v>509</v>
      </c>
      <c r="P5" s="257"/>
      <c r="Q5" s="257"/>
    </row>
    <row r="6" spans="3:17" x14ac:dyDescent="0.25">
      <c r="C6" s="296" t="s">
        <v>181</v>
      </c>
      <c r="D6" s="288" t="s">
        <v>192</v>
      </c>
      <c r="E6" s="289" t="s">
        <v>183</v>
      </c>
      <c r="F6" s="278" t="s">
        <v>182</v>
      </c>
      <c r="G6" s="290" t="s">
        <v>191</v>
      </c>
      <c r="H6" s="297" t="s">
        <v>184</v>
      </c>
      <c r="I6" s="254" t="s">
        <v>185</v>
      </c>
      <c r="J6" s="282" t="s">
        <v>186</v>
      </c>
      <c r="L6" s="142" t="s">
        <v>183</v>
      </c>
      <c r="M6" s="143">
        <v>3</v>
      </c>
      <c r="N6" s="143">
        <v>3</v>
      </c>
      <c r="O6" s="144">
        <v>2</v>
      </c>
      <c r="P6" s="133"/>
      <c r="Q6" s="133"/>
    </row>
    <row r="7" spans="3:17" x14ac:dyDescent="0.25">
      <c r="C7" s="296"/>
      <c r="D7" s="288"/>
      <c r="E7" s="289"/>
      <c r="F7" s="278"/>
      <c r="G7" s="290"/>
      <c r="H7" s="298"/>
      <c r="I7" s="255"/>
      <c r="J7" s="283"/>
      <c r="L7" s="145" t="s">
        <v>182</v>
      </c>
      <c r="M7" s="146">
        <v>4</v>
      </c>
      <c r="N7" s="146">
        <v>3</v>
      </c>
      <c r="O7" s="147">
        <v>1</v>
      </c>
      <c r="P7" s="148"/>
      <c r="Q7" s="148"/>
    </row>
    <row r="8" spans="3:17" ht="15.75" thickBot="1" x14ac:dyDescent="0.3">
      <c r="C8" s="296" t="s">
        <v>181</v>
      </c>
      <c r="D8" s="281" t="s">
        <v>196</v>
      </c>
      <c r="E8" s="289" t="s">
        <v>183</v>
      </c>
      <c r="F8" s="278" t="s">
        <v>182</v>
      </c>
      <c r="G8" s="290" t="s">
        <v>191</v>
      </c>
      <c r="H8" s="291" t="s">
        <v>194</v>
      </c>
      <c r="I8" s="254" t="s">
        <v>185</v>
      </c>
      <c r="J8" s="282" t="s">
        <v>186</v>
      </c>
      <c r="L8" s="149" t="s">
        <v>191</v>
      </c>
      <c r="M8" s="150">
        <v>4</v>
      </c>
      <c r="N8" s="150">
        <v>4</v>
      </c>
      <c r="O8" s="151">
        <v>0</v>
      </c>
      <c r="P8" s="148"/>
      <c r="Q8" s="148"/>
    </row>
    <row r="9" spans="3:17" x14ac:dyDescent="0.25">
      <c r="C9" s="296"/>
      <c r="D9" s="281"/>
      <c r="E9" s="289"/>
      <c r="F9" s="278"/>
      <c r="G9" s="290"/>
      <c r="H9" s="292"/>
      <c r="I9" s="255"/>
      <c r="J9" s="283"/>
      <c r="L9" s="173" t="s">
        <v>510</v>
      </c>
      <c r="M9" s="174"/>
      <c r="N9" s="174"/>
      <c r="O9" s="175"/>
    </row>
    <row r="10" spans="3:17" x14ac:dyDescent="0.25">
      <c r="C10" s="296" t="s">
        <v>181</v>
      </c>
      <c r="D10" s="266" t="s">
        <v>197</v>
      </c>
      <c r="E10" s="289" t="s">
        <v>183</v>
      </c>
      <c r="F10" s="278" t="s">
        <v>182</v>
      </c>
      <c r="G10" s="290" t="s">
        <v>191</v>
      </c>
      <c r="H10" s="291" t="s">
        <v>194</v>
      </c>
      <c r="I10" s="254" t="s">
        <v>185</v>
      </c>
      <c r="J10" s="282" t="s">
        <v>186</v>
      </c>
      <c r="L10" s="256"/>
      <c r="M10" s="257"/>
      <c r="N10" s="257"/>
      <c r="O10" s="258"/>
    </row>
    <row r="11" spans="3:17" x14ac:dyDescent="0.25">
      <c r="C11" s="296"/>
      <c r="D11" s="266"/>
      <c r="E11" s="289"/>
      <c r="F11" s="278"/>
      <c r="G11" s="290"/>
      <c r="H11" s="292"/>
      <c r="I11" s="255"/>
      <c r="J11" s="283"/>
      <c r="L11" s="152" t="s">
        <v>184</v>
      </c>
      <c r="M11" s="285" t="s">
        <v>193</v>
      </c>
      <c r="N11" s="286"/>
      <c r="O11" s="287"/>
    </row>
    <row r="12" spans="3:17" ht="15.75" thickBot="1" x14ac:dyDescent="0.3">
      <c r="C12" s="284" t="s">
        <v>192</v>
      </c>
      <c r="D12" s="288" t="s">
        <v>192</v>
      </c>
      <c r="E12" s="289" t="s">
        <v>183</v>
      </c>
      <c r="F12" s="278" t="s">
        <v>182</v>
      </c>
      <c r="G12" s="290" t="s">
        <v>191</v>
      </c>
      <c r="H12" s="291" t="s">
        <v>194</v>
      </c>
      <c r="I12" s="254" t="s">
        <v>185</v>
      </c>
      <c r="J12" s="282" t="s">
        <v>186</v>
      </c>
      <c r="L12" s="153" t="s">
        <v>194</v>
      </c>
      <c r="M12" s="293" t="s">
        <v>195</v>
      </c>
      <c r="N12" s="294"/>
      <c r="O12" s="295"/>
    </row>
    <row r="13" spans="3:17" x14ac:dyDescent="0.25">
      <c r="C13" s="284"/>
      <c r="D13" s="288"/>
      <c r="E13" s="289"/>
      <c r="F13" s="278"/>
      <c r="G13" s="290"/>
      <c r="H13" s="292"/>
      <c r="I13" s="255"/>
      <c r="J13" s="283"/>
    </row>
    <row r="14" spans="3:17" x14ac:dyDescent="0.25">
      <c r="C14" s="284" t="s">
        <v>192</v>
      </c>
      <c r="D14" s="281" t="s">
        <v>196</v>
      </c>
      <c r="E14" s="277"/>
      <c r="F14" s="278" t="s">
        <v>182</v>
      </c>
      <c r="G14" s="279"/>
      <c r="H14" s="274"/>
      <c r="I14" s="254" t="s">
        <v>185</v>
      </c>
      <c r="J14" s="282" t="s">
        <v>186</v>
      </c>
    </row>
    <row r="15" spans="3:17" x14ac:dyDescent="0.25">
      <c r="C15" s="284"/>
      <c r="D15" s="281"/>
      <c r="E15" s="277"/>
      <c r="F15" s="278"/>
      <c r="G15" s="279"/>
      <c r="H15" s="280"/>
      <c r="I15" s="255"/>
      <c r="J15" s="283"/>
    </row>
    <row r="16" spans="3:17" x14ac:dyDescent="0.25">
      <c r="C16" s="284" t="s">
        <v>192</v>
      </c>
      <c r="D16" s="266" t="s">
        <v>197</v>
      </c>
      <c r="E16" s="277"/>
      <c r="F16" s="278" t="s">
        <v>182</v>
      </c>
      <c r="G16" s="279"/>
      <c r="H16" s="274"/>
      <c r="I16" s="254" t="s">
        <v>185</v>
      </c>
      <c r="J16" s="254" t="s">
        <v>185</v>
      </c>
    </row>
    <row r="17" spans="3:17" x14ac:dyDescent="0.25">
      <c r="C17" s="284"/>
      <c r="D17" s="266"/>
      <c r="E17" s="277"/>
      <c r="F17" s="278"/>
      <c r="G17" s="279"/>
      <c r="H17" s="280"/>
      <c r="I17" s="255"/>
      <c r="J17" s="255"/>
    </row>
    <row r="18" spans="3:17" x14ac:dyDescent="0.25">
      <c r="C18" s="276" t="s">
        <v>196</v>
      </c>
      <c r="D18" s="281" t="s">
        <v>196</v>
      </c>
      <c r="E18" s="277"/>
      <c r="F18" s="278" t="s">
        <v>182</v>
      </c>
      <c r="G18" s="279"/>
      <c r="H18" s="274"/>
      <c r="I18" s="254" t="s">
        <v>185</v>
      </c>
      <c r="J18" s="254" t="s">
        <v>185</v>
      </c>
    </row>
    <row r="19" spans="3:17" x14ac:dyDescent="0.25">
      <c r="C19" s="276"/>
      <c r="D19" s="281"/>
      <c r="E19" s="277"/>
      <c r="F19" s="278"/>
      <c r="G19" s="279"/>
      <c r="H19" s="280"/>
      <c r="I19" s="255"/>
      <c r="J19" s="255"/>
    </row>
    <row r="20" spans="3:17" x14ac:dyDescent="0.25">
      <c r="C20" s="276" t="s">
        <v>196</v>
      </c>
      <c r="D20" s="266" t="s">
        <v>197</v>
      </c>
      <c r="E20" s="277"/>
      <c r="F20" s="278" t="s">
        <v>182</v>
      </c>
      <c r="G20" s="279"/>
      <c r="H20" s="274"/>
      <c r="I20" s="254" t="s">
        <v>185</v>
      </c>
      <c r="J20" s="254" t="s">
        <v>185</v>
      </c>
    </row>
    <row r="21" spans="3:17" x14ac:dyDescent="0.25">
      <c r="C21" s="276"/>
      <c r="D21" s="266"/>
      <c r="E21" s="277"/>
      <c r="F21" s="278"/>
      <c r="G21" s="279"/>
      <c r="H21" s="280"/>
      <c r="I21" s="255"/>
      <c r="J21" s="255"/>
    </row>
    <row r="22" spans="3:17" x14ac:dyDescent="0.25">
      <c r="C22" s="265" t="s">
        <v>197</v>
      </c>
      <c r="D22" s="266" t="s">
        <v>197</v>
      </c>
      <c r="E22" s="268"/>
      <c r="F22" s="270"/>
      <c r="G22" s="272"/>
      <c r="H22" s="274"/>
      <c r="I22" s="254" t="s">
        <v>185</v>
      </c>
      <c r="J22" s="254" t="s">
        <v>185</v>
      </c>
    </row>
    <row r="23" spans="3:17" ht="15.75" thickBot="1" x14ac:dyDescent="0.3">
      <c r="C23" s="265"/>
      <c r="D23" s="267"/>
      <c r="E23" s="269"/>
      <c r="F23" s="271"/>
      <c r="G23" s="273"/>
      <c r="H23" s="275"/>
      <c r="I23" s="255"/>
      <c r="J23" s="255"/>
    </row>
    <row r="25" spans="3:17" ht="15.75" thickBot="1" x14ac:dyDescent="0.3"/>
    <row r="26" spans="3:17" x14ac:dyDescent="0.25">
      <c r="C26" s="173" t="s">
        <v>498</v>
      </c>
      <c r="D26" s="174"/>
      <c r="E26" s="174"/>
      <c r="F26" s="174"/>
      <c r="G26" s="174"/>
      <c r="H26" s="174"/>
      <c r="I26" s="174"/>
      <c r="J26" s="175"/>
      <c r="L26" s="193" t="s">
        <v>187</v>
      </c>
      <c r="M26" s="194"/>
      <c r="N26" s="194"/>
      <c r="O26" s="194"/>
      <c r="P26" s="194"/>
      <c r="Q26" s="223"/>
    </row>
    <row r="27" spans="3:17" ht="15.75" thickBot="1" x14ac:dyDescent="0.3">
      <c r="C27" s="256"/>
      <c r="D27" s="257"/>
      <c r="E27" s="257"/>
      <c r="F27" s="257"/>
      <c r="G27" s="257"/>
      <c r="H27" s="257"/>
      <c r="I27" s="257"/>
      <c r="J27" s="258"/>
      <c r="L27" s="247"/>
      <c r="M27" s="248"/>
      <c r="N27" s="248"/>
      <c r="O27" s="248"/>
      <c r="P27" s="248"/>
      <c r="Q27" s="249"/>
    </row>
    <row r="28" spans="3:17" ht="15.75" thickBot="1" x14ac:dyDescent="0.3">
      <c r="C28" s="259" t="s">
        <v>511</v>
      </c>
      <c r="D28" s="260"/>
      <c r="E28" s="259" t="s">
        <v>512</v>
      </c>
      <c r="F28" s="261"/>
      <c r="G28" s="262" t="s">
        <v>513</v>
      </c>
      <c r="H28" s="263"/>
      <c r="I28" s="264" t="s">
        <v>514</v>
      </c>
      <c r="J28" s="263"/>
      <c r="L28" s="243" t="s">
        <v>515</v>
      </c>
      <c r="M28" s="244"/>
      <c r="N28" s="243" t="s">
        <v>516</v>
      </c>
      <c r="O28" s="244"/>
      <c r="P28" s="243" t="s">
        <v>499</v>
      </c>
      <c r="Q28" s="244"/>
    </row>
    <row r="29" spans="3:17" ht="18.75" x14ac:dyDescent="0.4">
      <c r="C29" s="154" t="s">
        <v>517</v>
      </c>
      <c r="D29" s="155"/>
      <c r="E29" s="250" t="s">
        <v>518</v>
      </c>
      <c r="F29" s="251"/>
      <c r="G29" s="252" t="s">
        <v>118</v>
      </c>
      <c r="H29" s="253"/>
      <c r="I29" s="237" t="s">
        <v>138</v>
      </c>
      <c r="J29" s="239"/>
      <c r="L29" s="237" t="s">
        <v>117</v>
      </c>
      <c r="M29" s="239"/>
      <c r="N29" s="237" t="s">
        <v>141</v>
      </c>
      <c r="O29" s="239"/>
      <c r="P29" s="237" t="s">
        <v>138</v>
      </c>
      <c r="Q29" s="239"/>
    </row>
    <row r="30" spans="3:17" ht="18.75" x14ac:dyDescent="0.4">
      <c r="C30" s="156"/>
      <c r="D30" s="157"/>
      <c r="E30" s="245" t="s">
        <v>117</v>
      </c>
      <c r="F30" s="246"/>
      <c r="G30" s="245" t="s">
        <v>136</v>
      </c>
      <c r="H30" s="246"/>
      <c r="I30" s="211" t="s">
        <v>120</v>
      </c>
      <c r="J30" s="213"/>
      <c r="L30" s="211" t="s">
        <v>118</v>
      </c>
      <c r="M30" s="213"/>
      <c r="N30" s="211" t="s">
        <v>136</v>
      </c>
      <c r="O30" s="213"/>
      <c r="P30" s="211" t="s">
        <v>120</v>
      </c>
      <c r="Q30" s="213"/>
    </row>
    <row r="31" spans="3:17" ht="18.75" x14ac:dyDescent="0.4">
      <c r="C31" s="156"/>
      <c r="D31" s="157"/>
      <c r="E31" s="158"/>
      <c r="F31" s="159"/>
      <c r="G31" s="245" t="s">
        <v>141</v>
      </c>
      <c r="H31" s="246"/>
      <c r="I31" s="211" t="s">
        <v>139</v>
      </c>
      <c r="J31" s="213"/>
      <c r="L31" s="211"/>
      <c r="M31" s="213"/>
      <c r="N31" s="211" t="s">
        <v>119</v>
      </c>
      <c r="O31" s="213"/>
      <c r="P31" s="211" t="s">
        <v>139</v>
      </c>
      <c r="Q31" s="213"/>
    </row>
    <row r="32" spans="3:17" ht="18.75" x14ac:dyDescent="0.4">
      <c r="C32" s="156"/>
      <c r="D32" s="157"/>
      <c r="E32" s="158"/>
      <c r="F32" s="159"/>
      <c r="G32" s="245" t="s">
        <v>119</v>
      </c>
      <c r="H32" s="246"/>
      <c r="I32" s="211" t="s">
        <v>140</v>
      </c>
      <c r="J32" s="213"/>
      <c r="L32" s="211"/>
      <c r="M32" s="213"/>
      <c r="N32" s="211"/>
      <c r="O32" s="213"/>
      <c r="P32" s="211" t="s">
        <v>140</v>
      </c>
      <c r="Q32" s="213"/>
    </row>
    <row r="33" spans="3:17" ht="19.5" thickBot="1" x14ac:dyDescent="0.45">
      <c r="C33" s="160"/>
      <c r="D33" s="161"/>
      <c r="E33" s="162"/>
      <c r="F33" s="163"/>
      <c r="G33" s="164"/>
      <c r="H33" s="165"/>
      <c r="I33" s="217" t="s">
        <v>121</v>
      </c>
      <c r="J33" s="219"/>
      <c r="L33" s="217"/>
      <c r="M33" s="219"/>
      <c r="N33" s="217"/>
      <c r="O33" s="219"/>
      <c r="P33" s="217" t="s">
        <v>121</v>
      </c>
      <c r="Q33" s="219"/>
    </row>
    <row r="34" spans="3:17" x14ac:dyDescent="0.25">
      <c r="C34" s="193" t="s">
        <v>500</v>
      </c>
      <c r="D34" s="194"/>
      <c r="E34" s="194"/>
      <c r="F34" s="194"/>
      <c r="G34" s="194"/>
      <c r="H34" s="223"/>
    </row>
    <row r="35" spans="3:17" ht="15.75" thickBot="1" x14ac:dyDescent="0.3">
      <c r="C35" s="224"/>
      <c r="D35" s="225"/>
      <c r="E35" s="225"/>
      <c r="F35" s="225"/>
      <c r="G35" s="225"/>
      <c r="H35" s="226"/>
    </row>
    <row r="36" spans="3:17" x14ac:dyDescent="0.25">
      <c r="C36" s="227" t="s">
        <v>501</v>
      </c>
      <c r="D36" s="228"/>
      <c r="E36" s="229"/>
      <c r="F36" s="233" t="s">
        <v>502</v>
      </c>
      <c r="G36" s="228"/>
      <c r="H36" s="234"/>
    </row>
    <row r="37" spans="3:17" ht="15.75" thickBot="1" x14ac:dyDescent="0.3">
      <c r="C37" s="230"/>
      <c r="D37" s="231"/>
      <c r="E37" s="232"/>
      <c r="F37" s="235"/>
      <c r="G37" s="231"/>
      <c r="H37" s="236"/>
    </row>
    <row r="38" spans="3:17" ht="18.75" x14ac:dyDescent="0.4">
      <c r="C38" s="237" t="s">
        <v>120</v>
      </c>
      <c r="D38" s="238"/>
      <c r="E38" s="239"/>
      <c r="F38" s="240" t="s">
        <v>117</v>
      </c>
      <c r="G38" s="241"/>
      <c r="H38" s="242"/>
    </row>
    <row r="39" spans="3:17" ht="18.75" x14ac:dyDescent="0.4">
      <c r="C39" s="211" t="s">
        <v>121</v>
      </c>
      <c r="D39" s="212"/>
      <c r="E39" s="213"/>
      <c r="F39" s="214" t="s">
        <v>118</v>
      </c>
      <c r="G39" s="215"/>
      <c r="H39" s="216"/>
    </row>
    <row r="40" spans="3:17" ht="18.75" x14ac:dyDescent="0.4">
      <c r="C40" s="211" t="s">
        <v>139</v>
      </c>
      <c r="D40" s="212"/>
      <c r="E40" s="213"/>
      <c r="F40" s="214" t="s">
        <v>119</v>
      </c>
      <c r="G40" s="215"/>
      <c r="H40" s="216"/>
    </row>
    <row r="41" spans="3:17" ht="19.5" thickBot="1" x14ac:dyDescent="0.45">
      <c r="C41" s="217" t="s">
        <v>140</v>
      </c>
      <c r="D41" s="218"/>
      <c r="E41" s="219"/>
      <c r="F41" s="220" t="s">
        <v>138</v>
      </c>
      <c r="G41" s="221"/>
      <c r="H41" s="222"/>
    </row>
    <row r="42" spans="3:17" x14ac:dyDescent="0.25">
      <c r="E42" s="134"/>
      <c r="F42" s="134"/>
      <c r="G42" s="134"/>
      <c r="H42" s="134"/>
    </row>
    <row r="43" spans="3:17" ht="15.75" thickBot="1" x14ac:dyDescent="0.3">
      <c r="E43" s="134"/>
      <c r="F43" s="134"/>
      <c r="G43" s="134"/>
      <c r="H43" s="134"/>
    </row>
    <row r="44" spans="3:17" x14ac:dyDescent="0.25">
      <c r="C44" s="173" t="s">
        <v>503</v>
      </c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5"/>
    </row>
    <row r="45" spans="3:17" ht="15.75" thickBot="1" x14ac:dyDescent="0.3">
      <c r="C45" s="176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8"/>
    </row>
    <row r="46" spans="3:17" ht="15.75" thickBot="1" x14ac:dyDescent="0.3">
      <c r="C46" s="170" t="s">
        <v>181</v>
      </c>
      <c r="D46" s="171"/>
      <c r="E46" s="171"/>
      <c r="F46" s="172"/>
      <c r="G46" s="197" t="s">
        <v>192</v>
      </c>
      <c r="H46" s="198"/>
      <c r="I46" s="198"/>
      <c r="J46" s="199"/>
      <c r="K46" s="166"/>
      <c r="L46" s="193" t="s">
        <v>196</v>
      </c>
      <c r="M46" s="194"/>
      <c r="N46" s="194"/>
      <c r="O46" s="195"/>
      <c r="P46" s="196"/>
    </row>
    <row r="47" spans="3:17" x14ac:dyDescent="0.25">
      <c r="C47" s="204" t="s">
        <v>129</v>
      </c>
      <c r="D47" s="205"/>
      <c r="E47" s="206" t="s">
        <v>131</v>
      </c>
      <c r="F47" s="207"/>
      <c r="G47" s="204" t="s">
        <v>129</v>
      </c>
      <c r="H47" s="207"/>
      <c r="I47" s="208" t="s">
        <v>146</v>
      </c>
      <c r="J47" s="207"/>
      <c r="L47" s="179" t="s">
        <v>129</v>
      </c>
      <c r="M47" s="180"/>
      <c r="N47" s="181"/>
      <c r="O47" s="208" t="s">
        <v>143</v>
      </c>
      <c r="P47" s="207"/>
    </row>
    <row r="48" spans="3:17" x14ac:dyDescent="0.25">
      <c r="C48" s="203" t="s">
        <v>130</v>
      </c>
      <c r="D48" s="209"/>
      <c r="E48" s="210" t="s">
        <v>131</v>
      </c>
      <c r="F48" s="192"/>
      <c r="G48" s="203" t="s">
        <v>134</v>
      </c>
      <c r="H48" s="192"/>
      <c r="I48" s="200" t="s">
        <v>133</v>
      </c>
      <c r="J48" s="192"/>
      <c r="L48" s="188" t="s">
        <v>519</v>
      </c>
      <c r="M48" s="189"/>
      <c r="N48" s="190"/>
      <c r="O48" s="200" t="s">
        <v>162</v>
      </c>
      <c r="P48" s="192"/>
    </row>
    <row r="49" spans="3:16" ht="15.75" thickBot="1" x14ac:dyDescent="0.3">
      <c r="C49" s="185" t="s">
        <v>132</v>
      </c>
      <c r="D49" s="201"/>
      <c r="E49" s="202" t="s">
        <v>131</v>
      </c>
      <c r="F49" s="186"/>
      <c r="G49" s="203" t="s">
        <v>520</v>
      </c>
      <c r="H49" s="192"/>
      <c r="I49" s="200" t="s">
        <v>131</v>
      </c>
      <c r="J49" s="192"/>
      <c r="L49" s="188" t="s">
        <v>147</v>
      </c>
      <c r="M49" s="189"/>
      <c r="N49" s="190"/>
      <c r="O49" s="200">
        <v>2019</v>
      </c>
      <c r="P49" s="192"/>
    </row>
    <row r="50" spans="3:16" ht="15.75" thickBot="1" x14ac:dyDescent="0.3">
      <c r="G50" s="185" t="s">
        <v>116</v>
      </c>
      <c r="H50" s="186"/>
      <c r="I50" s="187">
        <v>2019</v>
      </c>
      <c r="J50" s="186"/>
      <c r="L50" s="188" t="s">
        <v>504</v>
      </c>
      <c r="M50" s="189"/>
      <c r="N50" s="190"/>
      <c r="O50" s="191" t="s">
        <v>505</v>
      </c>
      <c r="P50" s="192"/>
    </row>
    <row r="51" spans="3:16" ht="15.75" thickBot="1" x14ac:dyDescent="0.3">
      <c r="L51" s="182" t="s">
        <v>506</v>
      </c>
      <c r="M51" s="183"/>
      <c r="N51" s="184"/>
      <c r="O51" s="187" t="s">
        <v>162</v>
      </c>
      <c r="P51" s="186"/>
    </row>
  </sheetData>
  <mergeCells count="164">
    <mergeCell ref="C2:C3"/>
    <mergeCell ref="D2:D3"/>
    <mergeCell ref="E2:G2"/>
    <mergeCell ref="H2:I2"/>
    <mergeCell ref="L2:O3"/>
    <mergeCell ref="C4:C5"/>
    <mergeCell ref="D4:D5"/>
    <mergeCell ref="E4:E5"/>
    <mergeCell ref="F4:F5"/>
    <mergeCell ref="G4:G5"/>
    <mergeCell ref="H4:H5"/>
    <mergeCell ref="I4:I5"/>
    <mergeCell ref="J4:J5"/>
    <mergeCell ref="L4:O4"/>
    <mergeCell ref="P4:Q5"/>
    <mergeCell ref="C6:C7"/>
    <mergeCell ref="D6:D7"/>
    <mergeCell ref="E6:E7"/>
    <mergeCell ref="F6:F7"/>
    <mergeCell ref="G6:G7"/>
    <mergeCell ref="H6:H7"/>
    <mergeCell ref="I6:I7"/>
    <mergeCell ref="J6:J7"/>
    <mergeCell ref="C8:C9"/>
    <mergeCell ref="D8:D9"/>
    <mergeCell ref="E8:E9"/>
    <mergeCell ref="F8:F9"/>
    <mergeCell ref="G8:G9"/>
    <mergeCell ref="H8:H9"/>
    <mergeCell ref="I8:I9"/>
    <mergeCell ref="J8:J9"/>
    <mergeCell ref="L9:O10"/>
    <mergeCell ref="C10:C11"/>
    <mergeCell ref="D10:D11"/>
    <mergeCell ref="E10:E11"/>
    <mergeCell ref="F10:F11"/>
    <mergeCell ref="G10:G11"/>
    <mergeCell ref="H10:H11"/>
    <mergeCell ref="I10:I11"/>
    <mergeCell ref="J10:J11"/>
    <mergeCell ref="M11:O11"/>
    <mergeCell ref="C12:C13"/>
    <mergeCell ref="D12:D13"/>
    <mergeCell ref="E12:E13"/>
    <mergeCell ref="F12:F13"/>
    <mergeCell ref="G12:G13"/>
    <mergeCell ref="H12:H13"/>
    <mergeCell ref="I12:I13"/>
    <mergeCell ref="J12:J13"/>
    <mergeCell ref="M12:O12"/>
    <mergeCell ref="I14:I15"/>
    <mergeCell ref="J14:J15"/>
    <mergeCell ref="C16:C17"/>
    <mergeCell ref="D16:D17"/>
    <mergeCell ref="E16:E17"/>
    <mergeCell ref="F16:F17"/>
    <mergeCell ref="G16:G17"/>
    <mergeCell ref="H16:H17"/>
    <mergeCell ref="I16:I17"/>
    <mergeCell ref="J16:J17"/>
    <mergeCell ref="C14:C15"/>
    <mergeCell ref="D14:D15"/>
    <mergeCell ref="E14:E15"/>
    <mergeCell ref="F14:F15"/>
    <mergeCell ref="G14:G15"/>
    <mergeCell ref="H14:H15"/>
    <mergeCell ref="I18:I19"/>
    <mergeCell ref="J18:J19"/>
    <mergeCell ref="C20:C21"/>
    <mergeCell ref="D20:D21"/>
    <mergeCell ref="E20:E21"/>
    <mergeCell ref="F20:F21"/>
    <mergeCell ref="G20:G21"/>
    <mergeCell ref="H20:H21"/>
    <mergeCell ref="I20:I21"/>
    <mergeCell ref="J20:J21"/>
    <mergeCell ref="C18:C19"/>
    <mergeCell ref="D18:D19"/>
    <mergeCell ref="E18:E19"/>
    <mergeCell ref="F18:F19"/>
    <mergeCell ref="G18:G19"/>
    <mergeCell ref="H18:H19"/>
    <mergeCell ref="I33:J33"/>
    <mergeCell ref="L26:Q27"/>
    <mergeCell ref="E29:F29"/>
    <mergeCell ref="G29:H29"/>
    <mergeCell ref="I29:J29"/>
    <mergeCell ref="E30:F30"/>
    <mergeCell ref="G30:H30"/>
    <mergeCell ref="I30:J30"/>
    <mergeCell ref="I22:I23"/>
    <mergeCell ref="J22:J23"/>
    <mergeCell ref="C26:J27"/>
    <mergeCell ref="C28:D28"/>
    <mergeCell ref="E28:F28"/>
    <mergeCell ref="G28:H28"/>
    <mergeCell ref="I28:J28"/>
    <mergeCell ref="C22:C23"/>
    <mergeCell ref="D22:D23"/>
    <mergeCell ref="E22:E23"/>
    <mergeCell ref="F22:F23"/>
    <mergeCell ref="G22:G23"/>
    <mergeCell ref="H22:H23"/>
    <mergeCell ref="L28:M28"/>
    <mergeCell ref="N28:O28"/>
    <mergeCell ref="P28:Q28"/>
    <mergeCell ref="L29:M29"/>
    <mergeCell ref="N29:O29"/>
    <mergeCell ref="P29:Q29"/>
    <mergeCell ref="G31:H31"/>
    <mergeCell ref="I31:J31"/>
    <mergeCell ref="G32:H32"/>
    <mergeCell ref="I32:J32"/>
    <mergeCell ref="L32:M32"/>
    <mergeCell ref="N32:O32"/>
    <mergeCell ref="P32:Q32"/>
    <mergeCell ref="L33:M33"/>
    <mergeCell ref="N33:O33"/>
    <mergeCell ref="P33:Q33"/>
    <mergeCell ref="L30:M30"/>
    <mergeCell ref="N30:O30"/>
    <mergeCell ref="P30:Q30"/>
    <mergeCell ref="L31:M31"/>
    <mergeCell ref="N31:O31"/>
    <mergeCell ref="P31:Q31"/>
    <mergeCell ref="E48:F48"/>
    <mergeCell ref="G48:H48"/>
    <mergeCell ref="I48:J48"/>
    <mergeCell ref="L48:N48"/>
    <mergeCell ref="C40:E40"/>
    <mergeCell ref="F40:H40"/>
    <mergeCell ref="C41:E41"/>
    <mergeCell ref="F41:H41"/>
    <mergeCell ref="C34:H35"/>
    <mergeCell ref="C36:E37"/>
    <mergeCell ref="F36:H37"/>
    <mergeCell ref="C38:E38"/>
    <mergeCell ref="F38:H38"/>
    <mergeCell ref="C39:E39"/>
    <mergeCell ref="F39:H39"/>
    <mergeCell ref="C46:F46"/>
    <mergeCell ref="C44:P45"/>
    <mergeCell ref="L47:N47"/>
    <mergeCell ref="L51:N51"/>
    <mergeCell ref="G50:H50"/>
    <mergeCell ref="I50:J50"/>
    <mergeCell ref="L50:N50"/>
    <mergeCell ref="O50:P50"/>
    <mergeCell ref="O51:P51"/>
    <mergeCell ref="L46:P46"/>
    <mergeCell ref="G46:J46"/>
    <mergeCell ref="O48:P48"/>
    <mergeCell ref="C49:D49"/>
    <mergeCell ref="E49:F49"/>
    <mergeCell ref="G49:H49"/>
    <mergeCell ref="I49:J49"/>
    <mergeCell ref="L49:N49"/>
    <mergeCell ref="O49:P49"/>
    <mergeCell ref="C47:D47"/>
    <mergeCell ref="E47:F47"/>
    <mergeCell ref="G47:H47"/>
    <mergeCell ref="I47:J47"/>
    <mergeCell ref="O47:P47"/>
    <mergeCell ref="C48:D48"/>
  </mergeCells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AFC9-20F0-4FA3-B0CA-74E9B0AE8D82}">
  <dimension ref="B2:H43"/>
  <sheetViews>
    <sheetView workbookViewId="0">
      <selection activeCell="E3" sqref="E3"/>
    </sheetView>
  </sheetViews>
  <sheetFormatPr baseColWidth="10" defaultRowHeight="15" x14ac:dyDescent="0.25"/>
  <cols>
    <col min="1" max="1" width="4.85546875" customWidth="1"/>
    <col min="2" max="2" width="6.140625" bestFit="1" customWidth="1"/>
    <col min="3" max="3" width="24.28515625" bestFit="1" customWidth="1"/>
    <col min="4" max="4" width="14.140625" bestFit="1" customWidth="1"/>
    <col min="5" max="5" width="16.140625" bestFit="1" customWidth="1"/>
    <col min="6" max="6" width="14.28515625" bestFit="1" customWidth="1"/>
    <col min="7" max="7" width="13.28515625" bestFit="1" customWidth="1"/>
    <col min="8" max="8" width="7.7109375" bestFit="1" customWidth="1"/>
  </cols>
  <sheetData>
    <row r="2" spans="2:8" x14ac:dyDescent="0.25">
      <c r="B2" s="385" t="s">
        <v>564</v>
      </c>
      <c r="C2" s="386" t="s">
        <v>484</v>
      </c>
      <c r="D2" s="386" t="s">
        <v>488</v>
      </c>
      <c r="E2" s="386" t="s">
        <v>487</v>
      </c>
      <c r="F2" s="386" t="s">
        <v>569</v>
      </c>
      <c r="G2" s="386" t="s">
        <v>570</v>
      </c>
      <c r="H2" s="386" t="s">
        <v>486</v>
      </c>
    </row>
    <row r="3" spans="2:8" x14ac:dyDescent="0.25">
      <c r="B3" s="387">
        <v>1</v>
      </c>
      <c r="C3" s="387"/>
      <c r="D3" s="396"/>
      <c r="E3" s="396"/>
      <c r="F3" s="396"/>
      <c r="G3" s="396"/>
      <c r="H3" s="389">
        <f>G3+F3+E3+D3</f>
        <v>0</v>
      </c>
    </row>
    <row r="4" spans="2:8" x14ac:dyDescent="0.25">
      <c r="B4" s="391">
        <v>2</v>
      </c>
      <c r="C4" s="391"/>
      <c r="D4" s="397"/>
      <c r="E4" s="397"/>
      <c r="F4" s="397"/>
      <c r="G4" s="397"/>
      <c r="H4" s="389">
        <f t="shared" ref="H4:H43" si="0">G4+F4+E4+D4</f>
        <v>0</v>
      </c>
    </row>
    <row r="5" spans="2:8" x14ac:dyDescent="0.25">
      <c r="B5" s="391">
        <v>3</v>
      </c>
      <c r="C5" s="391"/>
      <c r="D5" s="398"/>
      <c r="E5" s="397"/>
      <c r="F5" s="398"/>
      <c r="G5" s="398"/>
      <c r="H5" s="389">
        <f t="shared" si="0"/>
        <v>0</v>
      </c>
    </row>
    <row r="6" spans="2:8" x14ac:dyDescent="0.25">
      <c r="B6" s="391">
        <v>4</v>
      </c>
      <c r="C6" s="391"/>
      <c r="D6" s="398"/>
      <c r="E6" s="398"/>
      <c r="F6" s="398"/>
      <c r="G6" s="398"/>
      <c r="H6" s="389">
        <f t="shared" si="0"/>
        <v>0</v>
      </c>
    </row>
    <row r="7" spans="2:8" x14ac:dyDescent="0.25">
      <c r="B7" s="391">
        <v>5</v>
      </c>
      <c r="C7" s="391"/>
      <c r="D7" s="398"/>
      <c r="E7" s="398"/>
      <c r="F7" s="398"/>
      <c r="G7" s="398"/>
      <c r="H7" s="389">
        <f t="shared" si="0"/>
        <v>0</v>
      </c>
    </row>
    <row r="8" spans="2:8" x14ac:dyDescent="0.25">
      <c r="B8" s="391">
        <v>6</v>
      </c>
      <c r="C8" s="391"/>
      <c r="D8" s="398"/>
      <c r="E8" s="398"/>
      <c r="F8" s="398"/>
      <c r="G8" s="398"/>
      <c r="H8" s="389">
        <f t="shared" si="0"/>
        <v>0</v>
      </c>
    </row>
    <row r="9" spans="2:8" x14ac:dyDescent="0.25">
      <c r="B9" s="391">
        <v>7</v>
      </c>
      <c r="C9" s="391"/>
      <c r="D9" s="398"/>
      <c r="E9" s="398"/>
      <c r="F9" s="398"/>
      <c r="G9" s="398"/>
      <c r="H9" s="389">
        <f t="shared" si="0"/>
        <v>0</v>
      </c>
    </row>
    <row r="10" spans="2:8" x14ac:dyDescent="0.25">
      <c r="B10" s="391">
        <v>8</v>
      </c>
      <c r="C10" s="391"/>
      <c r="D10" s="398"/>
      <c r="E10" s="398"/>
      <c r="F10" s="398"/>
      <c r="G10" s="398"/>
      <c r="H10" s="389">
        <f t="shared" si="0"/>
        <v>0</v>
      </c>
    </row>
    <row r="11" spans="2:8" x14ac:dyDescent="0.25">
      <c r="B11" s="391">
        <v>9</v>
      </c>
      <c r="C11" s="391"/>
      <c r="D11" s="398"/>
      <c r="E11" s="398"/>
      <c r="F11" s="398"/>
      <c r="G11" s="398"/>
      <c r="H11" s="389">
        <f t="shared" si="0"/>
        <v>0</v>
      </c>
    </row>
    <row r="12" spans="2:8" x14ac:dyDescent="0.25">
      <c r="B12" s="391">
        <v>9</v>
      </c>
      <c r="C12" s="391"/>
      <c r="D12" s="398"/>
      <c r="E12" s="398"/>
      <c r="F12" s="398"/>
      <c r="G12" s="398"/>
      <c r="H12" s="389">
        <f t="shared" si="0"/>
        <v>0</v>
      </c>
    </row>
    <row r="13" spans="2:8" x14ac:dyDescent="0.25">
      <c r="B13" s="391">
        <v>11</v>
      </c>
      <c r="C13" s="391"/>
      <c r="D13" s="398"/>
      <c r="E13" s="398"/>
      <c r="F13" s="398"/>
      <c r="G13" s="398"/>
      <c r="H13" s="389">
        <f t="shared" si="0"/>
        <v>0</v>
      </c>
    </row>
    <row r="14" spans="2:8" x14ac:dyDescent="0.25">
      <c r="B14" s="391">
        <v>12</v>
      </c>
      <c r="C14" s="391"/>
      <c r="D14" s="398"/>
      <c r="E14" s="398"/>
      <c r="F14" s="398"/>
      <c r="G14" s="398"/>
      <c r="H14" s="389">
        <f t="shared" si="0"/>
        <v>0</v>
      </c>
    </row>
    <row r="15" spans="2:8" x14ac:dyDescent="0.25">
      <c r="B15" s="391">
        <v>13</v>
      </c>
      <c r="C15" s="391"/>
      <c r="D15" s="398"/>
      <c r="E15" s="398"/>
      <c r="F15" s="398"/>
      <c r="G15" s="398"/>
      <c r="H15" s="389">
        <f t="shared" si="0"/>
        <v>0</v>
      </c>
    </row>
    <row r="16" spans="2:8" x14ac:dyDescent="0.25">
      <c r="B16" s="391">
        <v>13</v>
      </c>
      <c r="C16" s="391"/>
      <c r="D16" s="398"/>
      <c r="E16" s="398"/>
      <c r="F16" s="398"/>
      <c r="G16" s="398"/>
      <c r="H16" s="389">
        <f t="shared" si="0"/>
        <v>0</v>
      </c>
    </row>
    <row r="17" spans="2:8" x14ac:dyDescent="0.25">
      <c r="B17" s="391">
        <v>15</v>
      </c>
      <c r="C17" s="391"/>
      <c r="D17" s="398"/>
      <c r="E17" s="398"/>
      <c r="F17" s="398"/>
      <c r="G17" s="398"/>
      <c r="H17" s="389">
        <f t="shared" si="0"/>
        <v>0</v>
      </c>
    </row>
    <row r="18" spans="2:8" x14ac:dyDescent="0.25">
      <c r="B18" s="391">
        <v>16</v>
      </c>
      <c r="C18" s="391"/>
      <c r="D18" s="398"/>
      <c r="E18" s="398"/>
      <c r="F18" s="398"/>
      <c r="G18" s="398"/>
      <c r="H18" s="389">
        <f t="shared" si="0"/>
        <v>0</v>
      </c>
    </row>
    <row r="19" spans="2:8" x14ac:dyDescent="0.25">
      <c r="B19" s="391">
        <v>17</v>
      </c>
      <c r="C19" s="391"/>
      <c r="D19" s="398"/>
      <c r="E19" s="398"/>
      <c r="F19" s="398"/>
      <c r="G19" s="398"/>
      <c r="H19" s="389">
        <f t="shared" si="0"/>
        <v>0</v>
      </c>
    </row>
    <row r="20" spans="2:8" x14ac:dyDescent="0.25">
      <c r="B20" s="391">
        <v>18</v>
      </c>
      <c r="C20" s="391"/>
      <c r="D20" s="398"/>
      <c r="E20" s="398"/>
      <c r="F20" s="398"/>
      <c r="G20" s="398"/>
      <c r="H20" s="389">
        <f t="shared" si="0"/>
        <v>0</v>
      </c>
    </row>
    <row r="21" spans="2:8" x14ac:dyDescent="0.25">
      <c r="B21" s="391">
        <v>19</v>
      </c>
      <c r="C21" s="391"/>
      <c r="D21" s="398"/>
      <c r="E21" s="398"/>
      <c r="F21" s="398"/>
      <c r="G21" s="398"/>
      <c r="H21" s="389">
        <f t="shared" si="0"/>
        <v>0</v>
      </c>
    </row>
    <row r="22" spans="2:8" x14ac:dyDescent="0.25">
      <c r="B22" s="391">
        <v>19</v>
      </c>
      <c r="C22" s="391"/>
      <c r="D22" s="398"/>
      <c r="E22" s="398"/>
      <c r="F22" s="398"/>
      <c r="G22" s="398"/>
      <c r="H22" s="389">
        <f t="shared" si="0"/>
        <v>0</v>
      </c>
    </row>
    <row r="23" spans="2:8" x14ac:dyDescent="0.25">
      <c r="B23" s="391">
        <v>21</v>
      </c>
      <c r="C23" s="391"/>
      <c r="D23" s="398"/>
      <c r="E23" s="398"/>
      <c r="F23" s="398"/>
      <c r="G23" s="398"/>
      <c r="H23" s="389">
        <f t="shared" si="0"/>
        <v>0</v>
      </c>
    </row>
    <row r="24" spans="2:8" x14ac:dyDescent="0.25">
      <c r="B24" s="391">
        <v>22</v>
      </c>
      <c r="C24" s="391"/>
      <c r="D24" s="398"/>
      <c r="E24" s="398"/>
      <c r="F24" s="398"/>
      <c r="G24" s="398"/>
      <c r="H24" s="389">
        <f t="shared" si="0"/>
        <v>0</v>
      </c>
    </row>
    <row r="25" spans="2:8" x14ac:dyDescent="0.25">
      <c r="B25" s="391">
        <v>23</v>
      </c>
      <c r="C25" s="391"/>
      <c r="D25" s="398"/>
      <c r="E25" s="398"/>
      <c r="F25" s="398"/>
      <c r="G25" s="398"/>
      <c r="H25" s="389">
        <f t="shared" si="0"/>
        <v>0</v>
      </c>
    </row>
    <row r="26" spans="2:8" x14ac:dyDescent="0.25">
      <c r="B26" s="391">
        <v>24</v>
      </c>
      <c r="C26" s="391"/>
      <c r="D26" s="398"/>
      <c r="E26" s="398"/>
      <c r="F26" s="398"/>
      <c r="G26" s="398"/>
      <c r="H26" s="389">
        <f t="shared" si="0"/>
        <v>0</v>
      </c>
    </row>
    <row r="27" spans="2:8" x14ac:dyDescent="0.25">
      <c r="B27" s="391">
        <v>25</v>
      </c>
      <c r="C27" s="391"/>
      <c r="D27" s="398"/>
      <c r="E27" s="398"/>
      <c r="F27" s="398"/>
      <c r="G27" s="398"/>
      <c r="H27" s="389">
        <f t="shared" si="0"/>
        <v>0</v>
      </c>
    </row>
    <row r="28" spans="2:8" x14ac:dyDescent="0.25">
      <c r="B28" s="391">
        <v>26</v>
      </c>
      <c r="C28" s="391"/>
      <c r="D28" s="398"/>
      <c r="E28" s="398"/>
      <c r="F28" s="398"/>
      <c r="G28" s="398"/>
      <c r="H28" s="389">
        <f t="shared" si="0"/>
        <v>0</v>
      </c>
    </row>
    <row r="29" spans="2:8" x14ac:dyDescent="0.25">
      <c r="B29" s="391">
        <v>27</v>
      </c>
      <c r="C29" s="391"/>
      <c r="D29" s="397"/>
      <c r="E29" s="398"/>
      <c r="F29" s="398"/>
      <c r="G29" s="397"/>
      <c r="H29" s="389">
        <f t="shared" si="0"/>
        <v>0</v>
      </c>
    </row>
    <row r="30" spans="2:8" x14ac:dyDescent="0.25">
      <c r="B30" s="391">
        <v>28</v>
      </c>
      <c r="C30" s="391"/>
      <c r="D30" s="398"/>
      <c r="E30" s="398"/>
      <c r="F30" s="398"/>
      <c r="G30" s="398"/>
      <c r="H30" s="389">
        <f t="shared" si="0"/>
        <v>0</v>
      </c>
    </row>
    <row r="31" spans="2:8" x14ac:dyDescent="0.25">
      <c r="B31" s="391">
        <v>29</v>
      </c>
      <c r="C31" s="391"/>
      <c r="D31" s="398"/>
      <c r="E31" s="398"/>
      <c r="F31" s="398"/>
      <c r="G31" s="398"/>
      <c r="H31" s="389">
        <f t="shared" si="0"/>
        <v>0</v>
      </c>
    </row>
    <row r="32" spans="2:8" x14ac:dyDescent="0.25">
      <c r="B32" s="391">
        <v>30</v>
      </c>
      <c r="C32" s="391"/>
      <c r="D32" s="398"/>
      <c r="E32" s="398"/>
      <c r="F32" s="398"/>
      <c r="G32" s="398"/>
      <c r="H32" s="389">
        <f t="shared" si="0"/>
        <v>0</v>
      </c>
    </row>
    <row r="33" spans="2:8" x14ac:dyDescent="0.25">
      <c r="B33" s="391">
        <v>31</v>
      </c>
      <c r="C33" s="391"/>
      <c r="D33" s="398"/>
      <c r="E33" s="398"/>
      <c r="F33" s="398"/>
      <c r="G33" s="398"/>
      <c r="H33" s="389">
        <f t="shared" si="0"/>
        <v>0</v>
      </c>
    </row>
    <row r="34" spans="2:8" x14ac:dyDescent="0.25">
      <c r="B34" s="391">
        <v>32</v>
      </c>
      <c r="C34" s="391"/>
      <c r="D34" s="398"/>
      <c r="E34" s="398"/>
      <c r="F34" s="398"/>
      <c r="G34" s="398"/>
      <c r="H34" s="389">
        <f t="shared" si="0"/>
        <v>0</v>
      </c>
    </row>
    <row r="35" spans="2:8" x14ac:dyDescent="0.25">
      <c r="B35" s="391">
        <v>33</v>
      </c>
      <c r="C35" s="391"/>
      <c r="D35" s="398"/>
      <c r="E35" s="398"/>
      <c r="F35" s="397"/>
      <c r="G35" s="398"/>
      <c r="H35" s="389">
        <f t="shared" si="0"/>
        <v>0</v>
      </c>
    </row>
    <row r="36" spans="2:8" x14ac:dyDescent="0.25">
      <c r="B36" s="391">
        <v>34</v>
      </c>
      <c r="C36" s="391"/>
      <c r="D36" s="398"/>
      <c r="E36" s="398"/>
      <c r="F36" s="398"/>
      <c r="G36" s="397"/>
      <c r="H36" s="389">
        <f t="shared" si="0"/>
        <v>0</v>
      </c>
    </row>
    <row r="37" spans="2:8" x14ac:dyDescent="0.25">
      <c r="B37" s="391">
        <v>35</v>
      </c>
      <c r="C37" s="391"/>
      <c r="D37" s="398"/>
      <c r="E37" s="398"/>
      <c r="F37" s="398"/>
      <c r="G37" s="398"/>
      <c r="H37" s="389">
        <f t="shared" si="0"/>
        <v>0</v>
      </c>
    </row>
    <row r="38" spans="2:8" x14ac:dyDescent="0.25">
      <c r="B38" s="391">
        <v>36</v>
      </c>
      <c r="C38" s="391"/>
      <c r="D38" s="398"/>
      <c r="E38" s="398"/>
      <c r="F38" s="398"/>
      <c r="G38" s="398"/>
      <c r="H38" s="389">
        <f t="shared" si="0"/>
        <v>0</v>
      </c>
    </row>
    <row r="39" spans="2:8" x14ac:dyDescent="0.25">
      <c r="B39" s="391">
        <v>37</v>
      </c>
      <c r="C39" s="391"/>
      <c r="D39" s="398"/>
      <c r="E39" s="398"/>
      <c r="F39" s="398"/>
      <c r="G39" s="398"/>
      <c r="H39" s="389">
        <f t="shared" si="0"/>
        <v>0</v>
      </c>
    </row>
    <row r="40" spans="2:8" x14ac:dyDescent="0.25">
      <c r="B40" s="391">
        <v>38</v>
      </c>
      <c r="C40" s="391"/>
      <c r="D40" s="398"/>
      <c r="E40" s="398"/>
      <c r="F40" s="398"/>
      <c r="G40" s="398"/>
      <c r="H40" s="389">
        <f t="shared" si="0"/>
        <v>0</v>
      </c>
    </row>
    <row r="41" spans="2:8" x14ac:dyDescent="0.25">
      <c r="B41" s="391">
        <v>39</v>
      </c>
      <c r="C41" s="391"/>
      <c r="D41" s="398"/>
      <c r="E41" s="398"/>
      <c r="F41" s="398"/>
      <c r="G41" s="398"/>
      <c r="H41" s="389">
        <f t="shared" si="0"/>
        <v>0</v>
      </c>
    </row>
    <row r="42" spans="2:8" x14ac:dyDescent="0.25">
      <c r="B42" s="391">
        <v>40</v>
      </c>
      <c r="C42" s="391"/>
      <c r="D42" s="398"/>
      <c r="E42" s="398"/>
      <c r="F42" s="398"/>
      <c r="G42" s="398"/>
      <c r="H42" s="389">
        <f t="shared" si="0"/>
        <v>0</v>
      </c>
    </row>
    <row r="43" spans="2:8" x14ac:dyDescent="0.25">
      <c r="B43" s="391">
        <v>41</v>
      </c>
      <c r="C43" s="391"/>
      <c r="D43" s="398"/>
      <c r="E43" s="398"/>
      <c r="F43" s="398"/>
      <c r="G43" s="398"/>
      <c r="H43" s="389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9CBB-6AA6-4A28-B38E-8585B896FA3D}">
  <dimension ref="B2:I43"/>
  <sheetViews>
    <sheetView workbookViewId="0">
      <selection activeCell="I6" sqref="I6"/>
    </sheetView>
  </sheetViews>
  <sheetFormatPr baseColWidth="10" defaultRowHeight="15" x14ac:dyDescent="0.25"/>
  <cols>
    <col min="1" max="1" width="4" customWidth="1"/>
    <col min="2" max="2" width="6.140625" bestFit="1" customWidth="1"/>
    <col min="3" max="3" width="24.28515625" bestFit="1" customWidth="1"/>
    <col min="4" max="4" width="14.140625" bestFit="1" customWidth="1"/>
    <col min="5" max="5" width="16.140625" bestFit="1" customWidth="1"/>
    <col min="6" max="6" width="14.28515625" bestFit="1" customWidth="1"/>
    <col min="7" max="7" width="13.28515625" bestFit="1" customWidth="1"/>
    <col min="8" max="8" width="7.7109375" bestFit="1" customWidth="1"/>
    <col min="9" max="9" width="14.42578125" bestFit="1" customWidth="1"/>
  </cols>
  <sheetData>
    <row r="2" spans="2:9" ht="16.5" customHeight="1" x14ac:dyDescent="0.25">
      <c r="B2" s="385" t="s">
        <v>564</v>
      </c>
      <c r="C2" s="386" t="s">
        <v>484</v>
      </c>
      <c r="D2" s="386" t="s">
        <v>521</v>
      </c>
      <c r="E2" s="386" t="s">
        <v>487</v>
      </c>
      <c r="F2" s="386" t="s">
        <v>565</v>
      </c>
      <c r="G2" s="386" t="s">
        <v>558</v>
      </c>
      <c r="H2" s="386" t="s">
        <v>486</v>
      </c>
      <c r="I2" s="386" t="s">
        <v>559</v>
      </c>
    </row>
    <row r="3" spans="2:9" x14ac:dyDescent="0.25">
      <c r="B3" s="387">
        <v>1</v>
      </c>
      <c r="C3" s="387" t="s">
        <v>522</v>
      </c>
      <c r="D3" s="388">
        <v>70</v>
      </c>
      <c r="E3" s="388">
        <v>70</v>
      </c>
      <c r="F3" s="388">
        <v>70</v>
      </c>
      <c r="G3" s="388">
        <v>70</v>
      </c>
      <c r="H3" s="389">
        <v>280</v>
      </c>
      <c r="I3" s="390">
        <v>280</v>
      </c>
    </row>
    <row r="4" spans="2:9" x14ac:dyDescent="0.25">
      <c r="B4" s="391">
        <v>2</v>
      </c>
      <c r="C4" s="391" t="s">
        <v>577</v>
      </c>
      <c r="D4" s="392">
        <v>64</v>
      </c>
      <c r="E4" s="392">
        <v>64</v>
      </c>
      <c r="F4" s="392">
        <v>64</v>
      </c>
      <c r="G4" s="392">
        <v>64</v>
      </c>
      <c r="H4" s="393">
        <v>256</v>
      </c>
      <c r="I4" s="394">
        <v>256</v>
      </c>
    </row>
    <row r="5" spans="2:9" x14ac:dyDescent="0.25">
      <c r="B5" s="391">
        <v>3</v>
      </c>
      <c r="C5" s="391" t="s">
        <v>524</v>
      </c>
      <c r="D5" s="391">
        <v>44</v>
      </c>
      <c r="E5" s="392">
        <v>59</v>
      </c>
      <c r="F5" s="391">
        <v>55</v>
      </c>
      <c r="G5" s="391">
        <v>55</v>
      </c>
      <c r="H5" s="393">
        <v>213</v>
      </c>
      <c r="I5" s="394">
        <v>213</v>
      </c>
    </row>
    <row r="6" spans="2:9" x14ac:dyDescent="0.25">
      <c r="B6" s="391">
        <v>4</v>
      </c>
      <c r="C6" s="391" t="s">
        <v>576</v>
      </c>
      <c r="D6" s="391">
        <v>50</v>
      </c>
      <c r="E6" s="391">
        <v>52</v>
      </c>
      <c r="F6" s="391">
        <v>46</v>
      </c>
      <c r="G6" s="391">
        <v>50</v>
      </c>
      <c r="H6" s="393">
        <v>198</v>
      </c>
      <c r="I6" s="394">
        <v>198</v>
      </c>
    </row>
    <row r="7" spans="2:9" x14ac:dyDescent="0.25">
      <c r="B7" s="391">
        <v>5</v>
      </c>
      <c r="C7" s="391" t="s">
        <v>528</v>
      </c>
      <c r="D7" s="391">
        <v>41</v>
      </c>
      <c r="E7" s="391">
        <v>55</v>
      </c>
      <c r="F7" s="391">
        <v>44</v>
      </c>
      <c r="G7" s="391">
        <v>48</v>
      </c>
      <c r="H7" s="393">
        <v>188</v>
      </c>
      <c r="I7" s="394">
        <v>188</v>
      </c>
    </row>
    <row r="8" spans="2:9" x14ac:dyDescent="0.25">
      <c r="B8" s="391">
        <v>6</v>
      </c>
      <c r="C8" s="391" t="s">
        <v>532</v>
      </c>
      <c r="D8" s="391">
        <v>52</v>
      </c>
      <c r="E8" s="391">
        <v>44</v>
      </c>
      <c r="F8" s="391">
        <v>42</v>
      </c>
      <c r="G8" s="391">
        <v>42</v>
      </c>
      <c r="H8" s="393">
        <v>180</v>
      </c>
      <c r="I8" s="394">
        <v>180</v>
      </c>
    </row>
    <row r="9" spans="2:9" x14ac:dyDescent="0.25">
      <c r="B9" s="391">
        <v>7</v>
      </c>
      <c r="C9" s="391" t="s">
        <v>526</v>
      </c>
      <c r="D9" s="391">
        <v>48</v>
      </c>
      <c r="E9" s="391">
        <v>35</v>
      </c>
      <c r="F9" s="391">
        <v>38</v>
      </c>
      <c r="G9" s="391">
        <v>46</v>
      </c>
      <c r="H9" s="393">
        <v>167</v>
      </c>
      <c r="I9" s="394">
        <v>167</v>
      </c>
    </row>
    <row r="10" spans="2:9" x14ac:dyDescent="0.25">
      <c r="B10" s="391">
        <v>8</v>
      </c>
      <c r="C10" s="391" t="s">
        <v>527</v>
      </c>
      <c r="D10" s="391">
        <v>46</v>
      </c>
      <c r="E10" s="391">
        <v>42</v>
      </c>
      <c r="F10" s="391">
        <v>31</v>
      </c>
      <c r="G10" s="391">
        <v>44</v>
      </c>
      <c r="H10" s="393">
        <v>163</v>
      </c>
      <c r="I10" s="394">
        <v>163</v>
      </c>
    </row>
    <row r="11" spans="2:9" x14ac:dyDescent="0.25">
      <c r="B11" s="391">
        <v>9</v>
      </c>
      <c r="C11" s="391" t="s">
        <v>530</v>
      </c>
      <c r="D11" s="391">
        <v>43</v>
      </c>
      <c r="E11" s="391">
        <v>43</v>
      </c>
      <c r="F11" s="391">
        <v>34</v>
      </c>
      <c r="G11" s="391">
        <v>35</v>
      </c>
      <c r="H11" s="393">
        <v>155</v>
      </c>
      <c r="I11" s="394">
        <v>155</v>
      </c>
    </row>
    <row r="12" spans="2:9" x14ac:dyDescent="0.25">
      <c r="B12" s="391">
        <v>9</v>
      </c>
      <c r="C12" s="391" t="s">
        <v>538</v>
      </c>
      <c r="D12" s="391">
        <v>37</v>
      </c>
      <c r="E12" s="391">
        <v>40</v>
      </c>
      <c r="F12" s="391">
        <v>40</v>
      </c>
      <c r="G12" s="391">
        <v>38</v>
      </c>
      <c r="H12" s="393">
        <v>155</v>
      </c>
      <c r="I12" s="394">
        <v>155</v>
      </c>
    </row>
    <row r="13" spans="2:9" x14ac:dyDescent="0.25">
      <c r="B13" s="391">
        <v>11</v>
      </c>
      <c r="C13" s="391" t="s">
        <v>536</v>
      </c>
      <c r="D13" s="391">
        <v>40</v>
      </c>
      <c r="E13" s="391">
        <v>37</v>
      </c>
      <c r="F13" s="391">
        <v>37</v>
      </c>
      <c r="G13" s="391">
        <v>40</v>
      </c>
      <c r="H13" s="393">
        <v>154</v>
      </c>
      <c r="I13" s="394">
        <v>154</v>
      </c>
    </row>
    <row r="14" spans="2:9" x14ac:dyDescent="0.25">
      <c r="B14" s="391">
        <v>12</v>
      </c>
      <c r="C14" s="391" t="s">
        <v>533</v>
      </c>
      <c r="D14" s="391">
        <v>38</v>
      </c>
      <c r="E14" s="391">
        <v>38</v>
      </c>
      <c r="F14" s="391">
        <v>41</v>
      </c>
      <c r="G14" s="391">
        <v>34</v>
      </c>
      <c r="H14" s="393">
        <v>151</v>
      </c>
      <c r="I14" s="394">
        <v>151</v>
      </c>
    </row>
    <row r="15" spans="2:9" x14ac:dyDescent="0.25">
      <c r="B15" s="391">
        <v>13</v>
      </c>
      <c r="C15" s="391" t="s">
        <v>534</v>
      </c>
      <c r="D15" s="391">
        <v>34</v>
      </c>
      <c r="E15" s="391">
        <v>46</v>
      </c>
      <c r="F15" s="391">
        <v>35</v>
      </c>
      <c r="G15" s="391">
        <v>32</v>
      </c>
      <c r="H15" s="393">
        <v>147</v>
      </c>
      <c r="I15" s="394">
        <v>147</v>
      </c>
    </row>
    <row r="16" spans="2:9" x14ac:dyDescent="0.25">
      <c r="B16" s="391">
        <v>13</v>
      </c>
      <c r="C16" s="391" t="s">
        <v>535</v>
      </c>
      <c r="D16" s="391">
        <v>35</v>
      </c>
      <c r="E16" s="391">
        <v>39</v>
      </c>
      <c r="F16" s="391">
        <v>32</v>
      </c>
      <c r="G16" s="391">
        <v>41</v>
      </c>
      <c r="H16" s="393">
        <v>147</v>
      </c>
      <c r="I16" s="394">
        <v>147</v>
      </c>
    </row>
    <row r="17" spans="2:9" x14ac:dyDescent="0.25">
      <c r="B17" s="391">
        <v>15</v>
      </c>
      <c r="C17" s="391" t="s">
        <v>537</v>
      </c>
      <c r="D17" s="391">
        <v>42</v>
      </c>
      <c r="E17" s="391">
        <v>41</v>
      </c>
      <c r="F17" s="391">
        <v>25</v>
      </c>
      <c r="G17" s="391">
        <v>30</v>
      </c>
      <c r="H17" s="393">
        <v>138</v>
      </c>
      <c r="I17" s="394">
        <v>138</v>
      </c>
    </row>
    <row r="18" spans="2:9" x14ac:dyDescent="0.25">
      <c r="B18" s="391">
        <v>16</v>
      </c>
      <c r="C18" s="391" t="s">
        <v>539</v>
      </c>
      <c r="D18" s="391">
        <v>31</v>
      </c>
      <c r="E18" s="391">
        <v>33</v>
      </c>
      <c r="F18" s="391">
        <v>29</v>
      </c>
      <c r="G18" s="391">
        <v>39</v>
      </c>
      <c r="H18" s="393">
        <v>132</v>
      </c>
      <c r="I18" s="394">
        <v>132</v>
      </c>
    </row>
    <row r="19" spans="2:9" x14ac:dyDescent="0.25">
      <c r="B19" s="391">
        <v>17</v>
      </c>
      <c r="C19" s="391" t="s">
        <v>541</v>
      </c>
      <c r="D19" s="391"/>
      <c r="E19" s="391">
        <v>50</v>
      </c>
      <c r="F19" s="391">
        <v>48</v>
      </c>
      <c r="G19" s="391">
        <v>33</v>
      </c>
      <c r="H19" s="393">
        <v>131</v>
      </c>
      <c r="I19" s="394">
        <v>131</v>
      </c>
    </row>
    <row r="20" spans="2:9" x14ac:dyDescent="0.25">
      <c r="B20" s="391">
        <v>18</v>
      </c>
      <c r="C20" s="391" t="s">
        <v>525</v>
      </c>
      <c r="D20" s="391">
        <v>39</v>
      </c>
      <c r="E20" s="391">
        <v>28</v>
      </c>
      <c r="F20" s="391">
        <v>24</v>
      </c>
      <c r="G20" s="391">
        <v>37</v>
      </c>
      <c r="H20" s="393">
        <v>128</v>
      </c>
      <c r="I20" s="394">
        <v>128</v>
      </c>
    </row>
    <row r="21" spans="2:9" x14ac:dyDescent="0.25">
      <c r="B21" s="391">
        <v>19</v>
      </c>
      <c r="C21" s="391" t="s">
        <v>547</v>
      </c>
      <c r="D21" s="391">
        <v>24</v>
      </c>
      <c r="E21" s="391">
        <v>30</v>
      </c>
      <c r="F21" s="391">
        <v>43</v>
      </c>
      <c r="G21" s="391">
        <v>29</v>
      </c>
      <c r="H21" s="393">
        <v>126</v>
      </c>
      <c r="I21" s="394">
        <v>126</v>
      </c>
    </row>
    <row r="22" spans="2:9" x14ac:dyDescent="0.25">
      <c r="B22" s="391">
        <v>19</v>
      </c>
      <c r="C22" s="391" t="s">
        <v>548</v>
      </c>
      <c r="D22" s="391">
        <v>30</v>
      </c>
      <c r="E22" s="391">
        <v>32</v>
      </c>
      <c r="F22" s="391">
        <v>28</v>
      </c>
      <c r="G22" s="391">
        <v>36</v>
      </c>
      <c r="H22" s="393">
        <v>126</v>
      </c>
      <c r="I22" s="394">
        <v>126</v>
      </c>
    </row>
    <row r="23" spans="2:9" x14ac:dyDescent="0.25">
      <c r="B23" s="391">
        <v>21</v>
      </c>
      <c r="C23" s="391" t="s">
        <v>545</v>
      </c>
      <c r="D23" s="391">
        <v>55</v>
      </c>
      <c r="E23" s="391">
        <v>31</v>
      </c>
      <c r="F23" s="391">
        <v>36</v>
      </c>
      <c r="G23" s="391"/>
      <c r="H23" s="393">
        <v>122</v>
      </c>
      <c r="I23" s="394">
        <v>122</v>
      </c>
    </row>
    <row r="24" spans="2:9" x14ac:dyDescent="0.25">
      <c r="B24" s="391">
        <v>22</v>
      </c>
      <c r="C24" s="391" t="s">
        <v>531</v>
      </c>
      <c r="D24" s="391">
        <v>33</v>
      </c>
      <c r="E24" s="391">
        <v>36</v>
      </c>
      <c r="F24" s="391">
        <v>20</v>
      </c>
      <c r="G24" s="391">
        <v>24</v>
      </c>
      <c r="H24" s="393">
        <v>113</v>
      </c>
      <c r="I24" s="394">
        <v>113</v>
      </c>
    </row>
    <row r="25" spans="2:9" x14ac:dyDescent="0.25">
      <c r="B25" s="391">
        <v>23</v>
      </c>
      <c r="C25" s="391" t="s">
        <v>543</v>
      </c>
      <c r="D25" s="391">
        <v>27</v>
      </c>
      <c r="E25" s="391">
        <v>34</v>
      </c>
      <c r="F25" s="391">
        <v>23</v>
      </c>
      <c r="G25" s="391">
        <v>27</v>
      </c>
      <c r="H25" s="393">
        <v>111</v>
      </c>
      <c r="I25" s="394">
        <v>111</v>
      </c>
    </row>
    <row r="26" spans="2:9" x14ac:dyDescent="0.25">
      <c r="B26" s="391">
        <v>24</v>
      </c>
      <c r="C26" s="391" t="s">
        <v>542</v>
      </c>
      <c r="D26" s="391">
        <v>28</v>
      </c>
      <c r="E26" s="391">
        <v>26</v>
      </c>
      <c r="F26" s="391">
        <v>22</v>
      </c>
      <c r="G26" s="391">
        <v>26</v>
      </c>
      <c r="H26" s="393">
        <v>102</v>
      </c>
      <c r="I26" s="394">
        <v>102</v>
      </c>
    </row>
    <row r="27" spans="2:9" x14ac:dyDescent="0.25">
      <c r="B27" s="391">
        <v>25</v>
      </c>
      <c r="C27" s="391" t="s">
        <v>551</v>
      </c>
      <c r="D27" s="391">
        <v>25</v>
      </c>
      <c r="E27" s="391">
        <v>25</v>
      </c>
      <c r="F27" s="391">
        <v>19</v>
      </c>
      <c r="G27" s="391">
        <v>28</v>
      </c>
      <c r="H27" s="393">
        <v>97</v>
      </c>
      <c r="I27" s="394">
        <v>97</v>
      </c>
    </row>
    <row r="28" spans="2:9" x14ac:dyDescent="0.25">
      <c r="B28" s="391">
        <v>26</v>
      </c>
      <c r="C28" s="391" t="s">
        <v>523</v>
      </c>
      <c r="D28" s="391"/>
      <c r="E28" s="391"/>
      <c r="F28" s="391">
        <v>50</v>
      </c>
      <c r="G28" s="391">
        <v>43</v>
      </c>
      <c r="H28" s="393">
        <v>93</v>
      </c>
      <c r="I28" s="394">
        <v>93</v>
      </c>
    </row>
    <row r="29" spans="2:9" x14ac:dyDescent="0.25">
      <c r="B29" s="391">
        <v>27</v>
      </c>
      <c r="C29" s="391" t="s">
        <v>549</v>
      </c>
      <c r="D29" s="392">
        <v>59</v>
      </c>
      <c r="E29" s="391"/>
      <c r="F29" s="391">
        <v>26</v>
      </c>
      <c r="G29" s="394"/>
      <c r="H29" s="393">
        <v>85</v>
      </c>
      <c r="I29" s="394">
        <v>85</v>
      </c>
    </row>
    <row r="30" spans="2:9" x14ac:dyDescent="0.25">
      <c r="B30" s="391">
        <v>28</v>
      </c>
      <c r="C30" s="391" t="s">
        <v>544</v>
      </c>
      <c r="D30" s="391">
        <v>36</v>
      </c>
      <c r="E30" s="391">
        <v>48</v>
      </c>
      <c r="F30" s="391"/>
      <c r="G30" s="391"/>
      <c r="H30" s="393">
        <v>84</v>
      </c>
      <c r="I30" s="394">
        <v>84</v>
      </c>
    </row>
    <row r="31" spans="2:9" x14ac:dyDescent="0.25">
      <c r="B31" s="391">
        <v>29</v>
      </c>
      <c r="C31" s="391" t="s">
        <v>552</v>
      </c>
      <c r="D31" s="391"/>
      <c r="E31" s="391">
        <v>27</v>
      </c>
      <c r="F31" s="391">
        <v>21</v>
      </c>
      <c r="G31" s="391">
        <v>25</v>
      </c>
      <c r="H31" s="393">
        <v>73</v>
      </c>
      <c r="I31" s="394">
        <v>73</v>
      </c>
    </row>
    <row r="32" spans="2:9" x14ac:dyDescent="0.25">
      <c r="B32" s="391">
        <v>30</v>
      </c>
      <c r="C32" s="391" t="s">
        <v>550</v>
      </c>
      <c r="D32" s="391">
        <v>29</v>
      </c>
      <c r="E32" s="391"/>
      <c r="F32" s="391">
        <v>33</v>
      </c>
      <c r="G32" s="391"/>
      <c r="H32" s="393">
        <v>62</v>
      </c>
      <c r="I32" s="394">
        <v>62</v>
      </c>
    </row>
    <row r="33" spans="2:9" x14ac:dyDescent="0.25">
      <c r="B33" s="391">
        <v>31</v>
      </c>
      <c r="C33" s="391" t="s">
        <v>560</v>
      </c>
      <c r="D33" s="391"/>
      <c r="E33" s="391">
        <v>29</v>
      </c>
      <c r="F33" s="391">
        <v>18</v>
      </c>
      <c r="G33" s="391"/>
      <c r="H33" s="393">
        <v>47</v>
      </c>
      <c r="I33" s="394">
        <v>47</v>
      </c>
    </row>
    <row r="34" spans="2:9" x14ac:dyDescent="0.25">
      <c r="B34" s="391">
        <v>32</v>
      </c>
      <c r="C34" s="391" t="s">
        <v>555</v>
      </c>
      <c r="D34" s="391">
        <v>26</v>
      </c>
      <c r="E34" s="391"/>
      <c r="F34" s="391">
        <v>17</v>
      </c>
      <c r="G34" s="391"/>
      <c r="H34" s="393">
        <v>43</v>
      </c>
      <c r="I34" s="394">
        <v>43</v>
      </c>
    </row>
    <row r="35" spans="2:9" x14ac:dyDescent="0.25">
      <c r="B35" s="391" t="s">
        <v>561</v>
      </c>
      <c r="C35" s="391" t="s">
        <v>540</v>
      </c>
      <c r="D35" s="391"/>
      <c r="E35" s="391"/>
      <c r="F35" s="392">
        <v>59</v>
      </c>
      <c r="G35" s="391"/>
      <c r="H35" s="393">
        <v>59</v>
      </c>
      <c r="I35" s="394">
        <v>0</v>
      </c>
    </row>
    <row r="36" spans="2:9" x14ac:dyDescent="0.25">
      <c r="B36" s="391" t="s">
        <v>561</v>
      </c>
      <c r="C36" s="391" t="s">
        <v>562</v>
      </c>
      <c r="D36" s="391"/>
      <c r="E36" s="391"/>
      <c r="F36" s="391"/>
      <c r="G36" s="392">
        <v>59</v>
      </c>
      <c r="H36" s="393">
        <v>59</v>
      </c>
      <c r="I36" s="394">
        <v>0</v>
      </c>
    </row>
    <row r="37" spans="2:9" x14ac:dyDescent="0.25">
      <c r="B37" s="391" t="s">
        <v>561</v>
      </c>
      <c r="C37" s="391" t="s">
        <v>529</v>
      </c>
      <c r="D37" s="391"/>
      <c r="E37" s="391"/>
      <c r="F37" s="391">
        <v>52</v>
      </c>
      <c r="G37" s="391"/>
      <c r="H37" s="393">
        <v>52</v>
      </c>
      <c r="I37" s="394">
        <v>0</v>
      </c>
    </row>
    <row r="38" spans="2:9" x14ac:dyDescent="0.25">
      <c r="B38" s="391" t="s">
        <v>561</v>
      </c>
      <c r="C38" s="391" t="s">
        <v>557</v>
      </c>
      <c r="D38" s="391"/>
      <c r="E38" s="391"/>
      <c r="F38" s="391"/>
      <c r="G38" s="391">
        <v>52</v>
      </c>
      <c r="H38" s="393">
        <v>52</v>
      </c>
      <c r="I38" s="394">
        <v>0</v>
      </c>
    </row>
    <row r="39" spans="2:9" x14ac:dyDescent="0.25">
      <c r="B39" s="391" t="s">
        <v>561</v>
      </c>
      <c r="C39" s="391" t="s">
        <v>556</v>
      </c>
      <c r="D39" s="391"/>
      <c r="E39" s="391"/>
      <c r="F39" s="391">
        <v>39</v>
      </c>
      <c r="G39" s="391"/>
      <c r="H39" s="393">
        <v>39</v>
      </c>
      <c r="I39" s="394">
        <v>0</v>
      </c>
    </row>
    <row r="40" spans="2:9" x14ac:dyDescent="0.25">
      <c r="B40" s="391" t="s">
        <v>561</v>
      </c>
      <c r="C40" s="391" t="s">
        <v>563</v>
      </c>
      <c r="D40" s="391">
        <v>32</v>
      </c>
      <c r="E40" s="391"/>
      <c r="F40" s="391"/>
      <c r="G40" s="391"/>
      <c r="H40" s="393">
        <v>32</v>
      </c>
      <c r="I40" s="394">
        <v>0</v>
      </c>
    </row>
    <row r="41" spans="2:9" x14ac:dyDescent="0.25">
      <c r="B41" s="391" t="s">
        <v>561</v>
      </c>
      <c r="C41" s="391" t="s">
        <v>546</v>
      </c>
      <c r="D41" s="391"/>
      <c r="E41" s="391"/>
      <c r="F41" s="391"/>
      <c r="G41" s="391">
        <v>31</v>
      </c>
      <c r="H41" s="393">
        <v>31</v>
      </c>
      <c r="I41" s="394">
        <v>0</v>
      </c>
    </row>
    <row r="42" spans="2:9" x14ac:dyDescent="0.25">
      <c r="B42" s="391" t="s">
        <v>561</v>
      </c>
      <c r="C42" s="391" t="s">
        <v>553</v>
      </c>
      <c r="D42" s="391"/>
      <c r="E42" s="391"/>
      <c r="F42" s="391">
        <v>30</v>
      </c>
      <c r="G42" s="391"/>
      <c r="H42" s="393">
        <v>30</v>
      </c>
      <c r="I42" s="394">
        <v>0</v>
      </c>
    </row>
    <row r="43" spans="2:9" x14ac:dyDescent="0.25">
      <c r="B43" s="391" t="s">
        <v>561</v>
      </c>
      <c r="C43" s="391" t="s">
        <v>554</v>
      </c>
      <c r="D43" s="391"/>
      <c r="E43" s="391"/>
      <c r="F43" s="391">
        <v>27</v>
      </c>
      <c r="G43" s="391"/>
      <c r="H43" s="393">
        <v>27</v>
      </c>
      <c r="I43" s="394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4:G32"/>
  <sheetViews>
    <sheetView topLeftCell="A10" zoomScaleNormal="100" workbookViewId="0">
      <selection activeCell="C27" sqref="C27"/>
    </sheetView>
  </sheetViews>
  <sheetFormatPr baseColWidth="10" defaultColWidth="9.140625" defaultRowHeight="15" x14ac:dyDescent="0.25"/>
  <cols>
    <col min="2" max="2" width="21.7109375" bestFit="1" customWidth="1"/>
    <col min="3" max="3" width="21.42578125" bestFit="1" customWidth="1"/>
    <col min="4" max="4" width="25.5703125" bestFit="1" customWidth="1"/>
    <col min="5" max="5" width="19.28515625" bestFit="1" customWidth="1"/>
    <col min="6" max="6" width="25.42578125" bestFit="1" customWidth="1"/>
    <col min="7" max="7" width="10.7109375" bestFit="1" customWidth="1"/>
  </cols>
  <sheetData>
    <row r="4" spans="2:6" ht="15.75" thickBot="1" x14ac:dyDescent="0.3"/>
    <row r="5" spans="2:6" ht="15.75" thickBot="1" x14ac:dyDescent="0.3">
      <c r="B5" s="22" t="s">
        <v>112</v>
      </c>
      <c r="C5" s="23" t="s">
        <v>113</v>
      </c>
      <c r="D5" s="23" t="s">
        <v>114</v>
      </c>
      <c r="E5" s="24" t="s">
        <v>115</v>
      </c>
      <c r="F5" s="3"/>
    </row>
    <row r="6" spans="2:6" x14ac:dyDescent="0.25">
      <c r="B6" s="25" t="s">
        <v>122</v>
      </c>
      <c r="C6" s="28" t="s">
        <v>123</v>
      </c>
      <c r="D6" s="28" t="s">
        <v>118</v>
      </c>
      <c r="E6" s="27" t="s">
        <v>120</v>
      </c>
      <c r="F6" s="3"/>
    </row>
    <row r="7" spans="2:6" x14ac:dyDescent="0.25">
      <c r="B7" s="4"/>
      <c r="C7" s="8" t="s">
        <v>117</v>
      </c>
      <c r="D7" s="8" t="s">
        <v>136</v>
      </c>
      <c r="E7" s="5" t="s">
        <v>121</v>
      </c>
      <c r="F7" s="3"/>
    </row>
    <row r="8" spans="2:6" x14ac:dyDescent="0.25">
      <c r="B8" s="4"/>
      <c r="C8" s="8"/>
      <c r="D8" s="8" t="s">
        <v>119</v>
      </c>
      <c r="E8" s="5" t="s">
        <v>138</v>
      </c>
      <c r="F8" s="3"/>
    </row>
    <row r="9" spans="2:6" x14ac:dyDescent="0.25">
      <c r="B9" s="12"/>
      <c r="C9" s="35"/>
      <c r="D9" s="18" t="s">
        <v>141</v>
      </c>
      <c r="E9" s="16" t="s">
        <v>139</v>
      </c>
      <c r="F9" s="3"/>
    </row>
    <row r="10" spans="2:6" ht="15.75" thickBot="1" x14ac:dyDescent="0.3">
      <c r="B10" s="14"/>
      <c r="C10" s="30"/>
      <c r="D10" s="30"/>
      <c r="E10" s="21" t="s">
        <v>140</v>
      </c>
      <c r="F10" s="3"/>
    </row>
    <row r="11" spans="2:6" ht="15.75" thickBot="1" x14ac:dyDescent="0.3">
      <c r="B11" s="3"/>
      <c r="C11" s="3"/>
      <c r="D11" s="3"/>
      <c r="E11" s="3"/>
      <c r="F11" s="3"/>
    </row>
    <row r="12" spans="2:6" ht="15.75" thickBot="1" x14ac:dyDescent="0.3">
      <c r="B12" s="22" t="s">
        <v>124</v>
      </c>
      <c r="C12" s="23" t="s">
        <v>142</v>
      </c>
      <c r="D12" s="31" t="s">
        <v>125</v>
      </c>
      <c r="E12" s="24" t="s">
        <v>126</v>
      </c>
      <c r="F12" s="3"/>
    </row>
    <row r="13" spans="2:6" x14ac:dyDescent="0.25">
      <c r="B13" s="25"/>
      <c r="C13" s="28" t="s">
        <v>117</v>
      </c>
      <c r="D13" s="17" t="s">
        <v>141</v>
      </c>
      <c r="E13" s="27" t="s">
        <v>138</v>
      </c>
      <c r="F13" s="3"/>
    </row>
    <row r="14" spans="2:6" x14ac:dyDescent="0.25">
      <c r="B14" s="4"/>
      <c r="C14" s="8" t="s">
        <v>118</v>
      </c>
      <c r="D14" s="18" t="s">
        <v>136</v>
      </c>
      <c r="E14" s="16" t="s">
        <v>120</v>
      </c>
    </row>
    <row r="15" spans="2:6" x14ac:dyDescent="0.25">
      <c r="B15" s="4"/>
      <c r="C15" s="35"/>
      <c r="D15" s="8" t="s">
        <v>119</v>
      </c>
      <c r="E15" s="5" t="s">
        <v>139</v>
      </c>
      <c r="F15" s="3"/>
    </row>
    <row r="16" spans="2:6" x14ac:dyDescent="0.25">
      <c r="B16" s="12"/>
      <c r="C16" s="35"/>
      <c r="D16" s="8"/>
      <c r="E16" s="16" t="s">
        <v>140</v>
      </c>
      <c r="F16" s="3"/>
    </row>
    <row r="17" spans="2:7" ht="15.75" thickBot="1" x14ac:dyDescent="0.3">
      <c r="B17" s="14"/>
      <c r="C17" s="30"/>
      <c r="D17" s="9"/>
      <c r="E17" s="21" t="s">
        <v>121</v>
      </c>
      <c r="F17" s="3"/>
    </row>
    <row r="18" spans="2:7" ht="15.75" thickBot="1" x14ac:dyDescent="0.3">
      <c r="B18" s="3"/>
      <c r="C18" s="3"/>
      <c r="D18" s="3"/>
      <c r="F18" s="3"/>
    </row>
    <row r="19" spans="2:7" ht="15.75" thickBot="1" x14ac:dyDescent="0.3">
      <c r="B19" s="22" t="s">
        <v>135</v>
      </c>
      <c r="C19" s="23" t="s">
        <v>127</v>
      </c>
      <c r="D19" s="24" t="s">
        <v>128</v>
      </c>
      <c r="E19" s="3"/>
      <c r="F19" s="3"/>
    </row>
    <row r="20" spans="2:7" x14ac:dyDescent="0.25">
      <c r="B20" s="25"/>
      <c r="C20" s="28" t="s">
        <v>120</v>
      </c>
      <c r="D20" s="27" t="s">
        <v>117</v>
      </c>
      <c r="E20" s="3"/>
      <c r="F20" s="3"/>
    </row>
    <row r="21" spans="2:7" x14ac:dyDescent="0.25">
      <c r="B21" s="4"/>
      <c r="C21" s="8" t="s">
        <v>121</v>
      </c>
      <c r="D21" s="5" t="s">
        <v>118</v>
      </c>
      <c r="E21" s="3"/>
      <c r="F21" s="3"/>
    </row>
    <row r="22" spans="2:7" x14ac:dyDescent="0.25">
      <c r="B22" s="4"/>
      <c r="C22" s="8" t="s">
        <v>139</v>
      </c>
      <c r="D22" s="5" t="s">
        <v>119</v>
      </c>
      <c r="E22" s="3"/>
      <c r="F22" s="3"/>
    </row>
    <row r="23" spans="2:7" ht="15.75" thickBot="1" x14ac:dyDescent="0.3">
      <c r="B23" s="6"/>
      <c r="C23" s="9" t="s">
        <v>140</v>
      </c>
      <c r="D23" s="7" t="s">
        <v>138</v>
      </c>
      <c r="E23" s="3"/>
      <c r="F23" s="3"/>
    </row>
    <row r="24" spans="2:7" x14ac:dyDescent="0.25">
      <c r="B24" s="2"/>
      <c r="C24" s="2"/>
      <c r="D24" s="2"/>
      <c r="E24" s="3"/>
      <c r="F24" s="3"/>
    </row>
    <row r="25" spans="2:7" ht="15.75" thickBot="1" x14ac:dyDescent="0.3">
      <c r="B25" s="3"/>
      <c r="C25" s="3"/>
      <c r="D25" s="3"/>
      <c r="E25" s="3"/>
      <c r="F25" s="3"/>
    </row>
    <row r="26" spans="2:7" ht="15.75" thickBot="1" x14ac:dyDescent="0.3">
      <c r="B26" s="22" t="s">
        <v>0</v>
      </c>
      <c r="C26" s="24"/>
      <c r="D26" s="32" t="s">
        <v>1</v>
      </c>
      <c r="E26" s="27"/>
      <c r="F26" s="22" t="s">
        <v>137</v>
      </c>
      <c r="G26" s="27"/>
    </row>
    <row r="27" spans="2:7" x14ac:dyDescent="0.25">
      <c r="B27" s="25" t="s">
        <v>129</v>
      </c>
      <c r="C27" s="27" t="s">
        <v>131</v>
      </c>
      <c r="D27" s="26" t="s">
        <v>129</v>
      </c>
      <c r="E27" s="27" t="s">
        <v>146</v>
      </c>
      <c r="F27" s="33" t="s">
        <v>129</v>
      </c>
      <c r="G27" s="34" t="s">
        <v>143</v>
      </c>
    </row>
    <row r="28" spans="2:7" x14ac:dyDescent="0.25">
      <c r="B28" s="4" t="s">
        <v>130</v>
      </c>
      <c r="C28" s="5" t="s">
        <v>131</v>
      </c>
      <c r="D28" s="2" t="s">
        <v>134</v>
      </c>
      <c r="E28" s="5" t="s">
        <v>133</v>
      </c>
      <c r="F28" s="19" t="s">
        <v>144</v>
      </c>
      <c r="G28" s="16" t="s">
        <v>145</v>
      </c>
    </row>
    <row r="29" spans="2:7" x14ac:dyDescent="0.25">
      <c r="B29" s="4" t="s">
        <v>132</v>
      </c>
      <c r="C29" s="5" t="s">
        <v>131</v>
      </c>
      <c r="D29" s="2" t="s">
        <v>149</v>
      </c>
      <c r="E29" s="5" t="s">
        <v>131</v>
      </c>
      <c r="F29" s="19" t="s">
        <v>147</v>
      </c>
      <c r="G29" s="5">
        <v>2019</v>
      </c>
    </row>
    <row r="30" spans="2:7" x14ac:dyDescent="0.25">
      <c r="B30" s="4"/>
      <c r="C30" s="5"/>
      <c r="D30" s="2" t="s">
        <v>116</v>
      </c>
      <c r="E30" s="5">
        <v>2019</v>
      </c>
      <c r="F30" s="19" t="s">
        <v>129</v>
      </c>
      <c r="G30" s="16" t="s">
        <v>148</v>
      </c>
    </row>
    <row r="31" spans="2:7" ht="15.75" thickBot="1" x14ac:dyDescent="0.3">
      <c r="B31" s="6"/>
      <c r="C31" s="7"/>
      <c r="D31" s="29"/>
      <c r="E31" s="15"/>
      <c r="F31" s="20" t="s">
        <v>150</v>
      </c>
      <c r="G31" s="21" t="s">
        <v>162</v>
      </c>
    </row>
    <row r="32" spans="2:7" x14ac:dyDescent="0.25">
      <c r="B32" s="3"/>
      <c r="C32" s="3"/>
      <c r="D32" s="3"/>
      <c r="E32" s="3"/>
      <c r="F32" s="3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C1:S23"/>
  <sheetViews>
    <sheetView zoomScaleNormal="100" workbookViewId="0">
      <selection activeCell="N14" sqref="N14"/>
    </sheetView>
  </sheetViews>
  <sheetFormatPr baseColWidth="10" defaultColWidth="9.140625" defaultRowHeight="15.75" x14ac:dyDescent="0.25"/>
  <cols>
    <col min="1" max="1" width="0.5703125" style="53" customWidth="1"/>
    <col min="2" max="2" width="0.7109375" style="53" customWidth="1"/>
    <col min="3" max="4" width="9.85546875" style="53" bestFit="1" customWidth="1"/>
    <col min="5" max="5" width="8" style="54" bestFit="1" customWidth="1"/>
    <col min="6" max="6" width="9.140625" style="54" bestFit="1" customWidth="1"/>
    <col min="7" max="7" width="9.5703125" style="54" bestFit="1" customWidth="1"/>
    <col min="8" max="8" width="11.28515625" style="54" bestFit="1" customWidth="1"/>
    <col min="9" max="10" width="8.5703125" style="54" bestFit="1" customWidth="1"/>
    <col min="11" max="11" width="9.85546875" style="53" bestFit="1" customWidth="1"/>
    <col min="12" max="13" width="9.140625" style="53"/>
    <col min="14" max="14" width="4.42578125" style="53" bestFit="1" customWidth="1"/>
    <col min="15" max="17" width="8" style="53" bestFit="1" customWidth="1"/>
    <col min="18" max="18" width="4.5703125" style="53" bestFit="1" customWidth="1"/>
    <col min="19" max="19" width="10.42578125" style="53" bestFit="1" customWidth="1"/>
    <col min="20" max="16384" width="9.140625" style="53"/>
  </cols>
  <sheetData>
    <row r="1" spans="3:19" ht="16.5" thickBot="1" x14ac:dyDescent="0.3"/>
    <row r="2" spans="3:19" x14ac:dyDescent="0.25">
      <c r="C2" s="325" t="s">
        <v>198</v>
      </c>
      <c r="D2" s="325" t="s">
        <v>199</v>
      </c>
      <c r="E2" s="339"/>
      <c r="F2" s="339"/>
      <c r="G2" s="340"/>
      <c r="H2" s="341" t="s">
        <v>187</v>
      </c>
      <c r="I2" s="342"/>
      <c r="J2" s="55" t="s">
        <v>174</v>
      </c>
      <c r="K2" s="325" t="s">
        <v>199</v>
      </c>
      <c r="N2" s="327" t="s">
        <v>176</v>
      </c>
      <c r="O2" s="328"/>
      <c r="P2" s="328"/>
      <c r="Q2" s="328"/>
      <c r="R2" s="328"/>
      <c r="S2" s="329"/>
    </row>
    <row r="3" spans="3:19" ht="16.5" thickBot="1" x14ac:dyDescent="0.3">
      <c r="C3" s="326"/>
      <c r="D3" s="326"/>
      <c r="E3" s="56" t="s">
        <v>177</v>
      </c>
      <c r="F3" s="57" t="s">
        <v>178</v>
      </c>
      <c r="G3" s="58" t="s">
        <v>179</v>
      </c>
      <c r="H3" s="59" t="s">
        <v>173</v>
      </c>
      <c r="I3" s="58" t="s">
        <v>180</v>
      </c>
      <c r="J3" s="58" t="s">
        <v>180</v>
      </c>
      <c r="K3" s="326"/>
      <c r="N3" s="330"/>
      <c r="O3" s="331"/>
      <c r="P3" s="331"/>
      <c r="Q3" s="331"/>
      <c r="R3" s="331"/>
      <c r="S3" s="332"/>
    </row>
    <row r="4" spans="3:19" x14ac:dyDescent="0.25">
      <c r="C4" s="359" t="s">
        <v>181</v>
      </c>
      <c r="D4" s="360" t="s">
        <v>181</v>
      </c>
      <c r="E4" s="362" t="s">
        <v>183</v>
      </c>
      <c r="F4" s="333" t="s">
        <v>182</v>
      </c>
      <c r="G4" s="335" t="s">
        <v>182</v>
      </c>
      <c r="H4" s="337" t="s">
        <v>184</v>
      </c>
      <c r="I4" s="351" t="s">
        <v>185</v>
      </c>
      <c r="J4" s="353" t="s">
        <v>186</v>
      </c>
      <c r="K4" s="355" t="s">
        <v>181</v>
      </c>
      <c r="N4" s="357" t="s">
        <v>175</v>
      </c>
      <c r="O4" s="358"/>
      <c r="P4" s="358"/>
      <c r="Q4" s="358"/>
      <c r="R4" s="327" t="s">
        <v>187</v>
      </c>
      <c r="S4" s="329"/>
    </row>
    <row r="5" spans="3:19" ht="16.5" thickBot="1" x14ac:dyDescent="0.3">
      <c r="C5" s="345"/>
      <c r="D5" s="361"/>
      <c r="E5" s="363"/>
      <c r="F5" s="334"/>
      <c r="G5" s="336"/>
      <c r="H5" s="338"/>
      <c r="I5" s="352"/>
      <c r="J5" s="354"/>
      <c r="K5" s="356"/>
      <c r="N5" s="60"/>
      <c r="O5" s="61" t="s">
        <v>188</v>
      </c>
      <c r="P5" s="61" t="s">
        <v>189</v>
      </c>
      <c r="Q5" s="62" t="s">
        <v>190</v>
      </c>
      <c r="R5" s="343"/>
      <c r="S5" s="344"/>
    </row>
    <row r="6" spans="3:19" x14ac:dyDescent="0.25">
      <c r="C6" s="345" t="s">
        <v>181</v>
      </c>
      <c r="D6" s="346" t="s">
        <v>192</v>
      </c>
      <c r="E6" s="347" t="s">
        <v>183</v>
      </c>
      <c r="F6" s="348" t="s">
        <v>182</v>
      </c>
      <c r="G6" s="349" t="s">
        <v>191</v>
      </c>
      <c r="H6" s="350" t="s">
        <v>184</v>
      </c>
      <c r="I6" s="351" t="s">
        <v>185</v>
      </c>
      <c r="J6" s="353" t="s">
        <v>186</v>
      </c>
      <c r="K6" s="364" t="s">
        <v>192</v>
      </c>
      <c r="N6" s="63" t="s">
        <v>183</v>
      </c>
      <c r="O6" s="64">
        <v>3</v>
      </c>
      <c r="P6" s="64">
        <v>3</v>
      </c>
      <c r="Q6" s="65">
        <v>2</v>
      </c>
      <c r="R6" s="66" t="s">
        <v>184</v>
      </c>
      <c r="S6" s="67" t="s">
        <v>193</v>
      </c>
    </row>
    <row r="7" spans="3:19" x14ac:dyDescent="0.25">
      <c r="C7" s="345"/>
      <c r="D7" s="346"/>
      <c r="E7" s="347"/>
      <c r="F7" s="348"/>
      <c r="G7" s="349"/>
      <c r="H7" s="338"/>
      <c r="I7" s="352"/>
      <c r="J7" s="354"/>
      <c r="K7" s="364"/>
      <c r="N7" s="68" t="s">
        <v>182</v>
      </c>
      <c r="O7" s="69">
        <v>4</v>
      </c>
      <c r="P7" s="69">
        <v>3</v>
      </c>
      <c r="Q7" s="70">
        <v>1</v>
      </c>
      <c r="R7" s="71" t="s">
        <v>194</v>
      </c>
      <c r="S7" s="72" t="s">
        <v>195</v>
      </c>
    </row>
    <row r="8" spans="3:19" ht="16.5" thickBot="1" x14ac:dyDescent="0.3">
      <c r="C8" s="345" t="s">
        <v>181</v>
      </c>
      <c r="D8" s="365" t="s">
        <v>196</v>
      </c>
      <c r="E8" s="347" t="s">
        <v>183</v>
      </c>
      <c r="F8" s="348" t="s">
        <v>182</v>
      </c>
      <c r="G8" s="349" t="s">
        <v>191</v>
      </c>
      <c r="H8" s="366" t="s">
        <v>194</v>
      </c>
      <c r="I8" s="351" t="s">
        <v>185</v>
      </c>
      <c r="J8" s="353" t="s">
        <v>186</v>
      </c>
      <c r="K8" s="368" t="s">
        <v>196</v>
      </c>
      <c r="N8" s="73" t="s">
        <v>191</v>
      </c>
      <c r="O8" s="74">
        <v>4</v>
      </c>
      <c r="P8" s="74">
        <v>4</v>
      </c>
      <c r="Q8" s="75">
        <v>0</v>
      </c>
      <c r="R8" s="76"/>
      <c r="S8" s="77"/>
    </row>
    <row r="9" spans="3:19" x14ac:dyDescent="0.25">
      <c r="C9" s="345"/>
      <c r="D9" s="365"/>
      <c r="E9" s="347"/>
      <c r="F9" s="348"/>
      <c r="G9" s="349"/>
      <c r="H9" s="367"/>
      <c r="I9" s="352"/>
      <c r="J9" s="354"/>
      <c r="K9" s="368"/>
    </row>
    <row r="10" spans="3:19" x14ac:dyDescent="0.25">
      <c r="C10" s="345" t="s">
        <v>181</v>
      </c>
      <c r="D10" s="370" t="s">
        <v>197</v>
      </c>
      <c r="E10" s="347" t="s">
        <v>183</v>
      </c>
      <c r="F10" s="348" t="s">
        <v>182</v>
      </c>
      <c r="G10" s="349" t="s">
        <v>191</v>
      </c>
      <c r="H10" s="366" t="s">
        <v>194</v>
      </c>
      <c r="I10" s="351" t="s">
        <v>185</v>
      </c>
      <c r="J10" s="353" t="s">
        <v>186</v>
      </c>
      <c r="K10" s="371" t="s">
        <v>197</v>
      </c>
    </row>
    <row r="11" spans="3:19" x14ac:dyDescent="0.25">
      <c r="C11" s="345"/>
      <c r="D11" s="370"/>
      <c r="E11" s="347"/>
      <c r="F11" s="348"/>
      <c r="G11" s="349"/>
      <c r="H11" s="367"/>
      <c r="I11" s="352"/>
      <c r="J11" s="354"/>
      <c r="K11" s="371"/>
    </row>
    <row r="12" spans="3:19" x14ac:dyDescent="0.25">
      <c r="C12" s="369" t="s">
        <v>192</v>
      </c>
      <c r="D12" s="346" t="s">
        <v>192</v>
      </c>
      <c r="E12" s="347" t="s">
        <v>183</v>
      </c>
      <c r="F12" s="348" t="s">
        <v>182</v>
      </c>
      <c r="G12" s="349" t="s">
        <v>191</v>
      </c>
      <c r="H12" s="366" t="s">
        <v>194</v>
      </c>
      <c r="I12" s="351" t="s">
        <v>185</v>
      </c>
      <c r="J12" s="353" t="s">
        <v>186</v>
      </c>
      <c r="K12" s="364" t="s">
        <v>192</v>
      </c>
    </row>
    <row r="13" spans="3:19" x14ac:dyDescent="0.25">
      <c r="C13" s="369"/>
      <c r="D13" s="346"/>
      <c r="E13" s="347"/>
      <c r="F13" s="348"/>
      <c r="G13" s="349"/>
      <c r="H13" s="367"/>
      <c r="I13" s="352"/>
      <c r="J13" s="354"/>
      <c r="K13" s="364"/>
    </row>
    <row r="14" spans="3:19" x14ac:dyDescent="0.25">
      <c r="C14" s="369" t="s">
        <v>192</v>
      </c>
      <c r="D14" s="365" t="s">
        <v>196</v>
      </c>
      <c r="E14" s="347" t="s">
        <v>183</v>
      </c>
      <c r="F14" s="348" t="s">
        <v>182</v>
      </c>
      <c r="G14" s="372"/>
      <c r="H14" s="373"/>
      <c r="I14" s="351" t="s">
        <v>185</v>
      </c>
      <c r="J14" s="353" t="s">
        <v>186</v>
      </c>
      <c r="K14" s="368" t="s">
        <v>196</v>
      </c>
    </row>
    <row r="15" spans="3:19" x14ac:dyDescent="0.25">
      <c r="C15" s="369"/>
      <c r="D15" s="365"/>
      <c r="E15" s="347"/>
      <c r="F15" s="348"/>
      <c r="G15" s="372"/>
      <c r="H15" s="374"/>
      <c r="I15" s="352"/>
      <c r="J15" s="354"/>
      <c r="K15" s="368"/>
    </row>
    <row r="16" spans="3:19" x14ac:dyDescent="0.25">
      <c r="C16" s="369" t="s">
        <v>192</v>
      </c>
      <c r="D16" s="370" t="s">
        <v>197</v>
      </c>
      <c r="E16" s="347" t="s">
        <v>183</v>
      </c>
      <c r="F16" s="348" t="s">
        <v>182</v>
      </c>
      <c r="G16" s="372"/>
      <c r="H16" s="373"/>
      <c r="I16" s="351" t="s">
        <v>185</v>
      </c>
      <c r="J16" s="351" t="s">
        <v>185</v>
      </c>
      <c r="K16" s="371" t="s">
        <v>197</v>
      </c>
    </row>
    <row r="17" spans="3:11" x14ac:dyDescent="0.25">
      <c r="C17" s="369"/>
      <c r="D17" s="370"/>
      <c r="E17" s="347"/>
      <c r="F17" s="348"/>
      <c r="G17" s="372"/>
      <c r="H17" s="374"/>
      <c r="I17" s="352"/>
      <c r="J17" s="352"/>
      <c r="K17" s="371"/>
    </row>
    <row r="18" spans="3:11" x14ac:dyDescent="0.25">
      <c r="C18" s="375" t="s">
        <v>196</v>
      </c>
      <c r="D18" s="365" t="s">
        <v>196</v>
      </c>
      <c r="E18" s="347" t="s">
        <v>183</v>
      </c>
      <c r="F18" s="348" t="s">
        <v>182</v>
      </c>
      <c r="G18" s="372"/>
      <c r="H18" s="373"/>
      <c r="I18" s="351" t="s">
        <v>185</v>
      </c>
      <c r="J18" s="351" t="s">
        <v>185</v>
      </c>
      <c r="K18" s="368" t="s">
        <v>196</v>
      </c>
    </row>
    <row r="19" spans="3:11" x14ac:dyDescent="0.25">
      <c r="C19" s="375"/>
      <c r="D19" s="365"/>
      <c r="E19" s="347"/>
      <c r="F19" s="348"/>
      <c r="G19" s="372"/>
      <c r="H19" s="374"/>
      <c r="I19" s="352"/>
      <c r="J19" s="352"/>
      <c r="K19" s="368"/>
    </row>
    <row r="20" spans="3:11" x14ac:dyDescent="0.25">
      <c r="C20" s="375" t="s">
        <v>196</v>
      </c>
      <c r="D20" s="370" t="s">
        <v>197</v>
      </c>
      <c r="E20" s="347" t="s">
        <v>183</v>
      </c>
      <c r="F20" s="348" t="s">
        <v>182</v>
      </c>
      <c r="G20" s="372"/>
      <c r="H20" s="373"/>
      <c r="I20" s="351" t="s">
        <v>185</v>
      </c>
      <c r="J20" s="351" t="s">
        <v>185</v>
      </c>
      <c r="K20" s="371" t="s">
        <v>197</v>
      </c>
    </row>
    <row r="21" spans="3:11" x14ac:dyDescent="0.25">
      <c r="C21" s="375"/>
      <c r="D21" s="370"/>
      <c r="E21" s="347"/>
      <c r="F21" s="348"/>
      <c r="G21" s="372"/>
      <c r="H21" s="374"/>
      <c r="I21" s="352"/>
      <c r="J21" s="352"/>
      <c r="K21" s="371"/>
    </row>
    <row r="22" spans="3:11" x14ac:dyDescent="0.25">
      <c r="C22" s="376" t="s">
        <v>197</v>
      </c>
      <c r="D22" s="370" t="s">
        <v>197</v>
      </c>
      <c r="E22" s="378" t="s">
        <v>183</v>
      </c>
      <c r="F22" s="380" t="s">
        <v>182</v>
      </c>
      <c r="G22" s="382"/>
      <c r="H22" s="373"/>
      <c r="I22" s="351" t="s">
        <v>185</v>
      </c>
      <c r="J22" s="351" t="s">
        <v>185</v>
      </c>
      <c r="K22" s="371" t="s">
        <v>197</v>
      </c>
    </row>
    <row r="23" spans="3:11" ht="16.5" thickBot="1" x14ac:dyDescent="0.3">
      <c r="C23" s="376"/>
      <c r="D23" s="377"/>
      <c r="E23" s="379"/>
      <c r="F23" s="381"/>
      <c r="G23" s="383"/>
      <c r="H23" s="384"/>
      <c r="I23" s="352"/>
      <c r="J23" s="352"/>
      <c r="K23" s="371"/>
    </row>
  </sheetData>
  <mergeCells count="98">
    <mergeCell ref="I22:I23"/>
    <mergeCell ref="J22:J23"/>
    <mergeCell ref="K22:K23"/>
    <mergeCell ref="D2:D3"/>
    <mergeCell ref="C22:C23"/>
    <mergeCell ref="D22:D23"/>
    <mergeCell ref="E22:E23"/>
    <mergeCell ref="F22:F23"/>
    <mergeCell ref="G22:G23"/>
    <mergeCell ref="H22:H23"/>
    <mergeCell ref="H20:H21"/>
    <mergeCell ref="I20:I21"/>
    <mergeCell ref="J20:J21"/>
    <mergeCell ref="K20:K21"/>
    <mergeCell ref="I18:I19"/>
    <mergeCell ref="J18:J19"/>
    <mergeCell ref="K18:K19"/>
    <mergeCell ref="C20:C21"/>
    <mergeCell ref="D20:D21"/>
    <mergeCell ref="E20:E21"/>
    <mergeCell ref="F20:F21"/>
    <mergeCell ref="G20:G21"/>
    <mergeCell ref="C18:C19"/>
    <mergeCell ref="D18:D19"/>
    <mergeCell ref="E18:E19"/>
    <mergeCell ref="F18:F19"/>
    <mergeCell ref="G18:G19"/>
    <mergeCell ref="H18:H19"/>
    <mergeCell ref="H16:H17"/>
    <mergeCell ref="I16:I17"/>
    <mergeCell ref="J16:J17"/>
    <mergeCell ref="K16:K17"/>
    <mergeCell ref="I14:I15"/>
    <mergeCell ref="J14:J15"/>
    <mergeCell ref="K14:K15"/>
    <mergeCell ref="H14:H15"/>
    <mergeCell ref="C16:C17"/>
    <mergeCell ref="D16:D17"/>
    <mergeCell ref="E16:E17"/>
    <mergeCell ref="F16:F17"/>
    <mergeCell ref="G16:G17"/>
    <mergeCell ref="C14:C15"/>
    <mergeCell ref="D14:D15"/>
    <mergeCell ref="E14:E15"/>
    <mergeCell ref="F14:F15"/>
    <mergeCell ref="G14:G15"/>
    <mergeCell ref="I12:I13"/>
    <mergeCell ref="J12:J13"/>
    <mergeCell ref="K12:K13"/>
    <mergeCell ref="I10:I11"/>
    <mergeCell ref="J10:J11"/>
    <mergeCell ref="K10:K11"/>
    <mergeCell ref="H10:H11"/>
    <mergeCell ref="C12:C13"/>
    <mergeCell ref="D12:D13"/>
    <mergeCell ref="E12:E13"/>
    <mergeCell ref="F12:F13"/>
    <mergeCell ref="G12:G13"/>
    <mergeCell ref="H12:H13"/>
    <mergeCell ref="C10:C11"/>
    <mergeCell ref="D10:D11"/>
    <mergeCell ref="E10:E11"/>
    <mergeCell ref="F10:F11"/>
    <mergeCell ref="G10:G11"/>
    <mergeCell ref="C4:C5"/>
    <mergeCell ref="D4:D5"/>
    <mergeCell ref="E4:E5"/>
    <mergeCell ref="K6:K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C2:C3"/>
    <mergeCell ref="E2:G2"/>
    <mergeCell ref="H2:I2"/>
    <mergeCell ref="R4:S5"/>
    <mergeCell ref="C6:C7"/>
    <mergeCell ref="D6:D7"/>
    <mergeCell ref="E6:E7"/>
    <mergeCell ref="F6:F7"/>
    <mergeCell ref="G6:G7"/>
    <mergeCell ref="H6:H7"/>
    <mergeCell ref="I6:I7"/>
    <mergeCell ref="J6:J7"/>
    <mergeCell ref="I4:I5"/>
    <mergeCell ref="J4:J5"/>
    <mergeCell ref="K4:K5"/>
    <mergeCell ref="N4:Q4"/>
    <mergeCell ref="K2:K3"/>
    <mergeCell ref="N2:S3"/>
    <mergeCell ref="F4:F5"/>
    <mergeCell ref="G4:G5"/>
    <mergeCell ref="H4:H5"/>
  </mergeCells>
  <pageMargins left="0.62992125984251968" right="0.23622047244094491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P45"/>
  <sheetViews>
    <sheetView zoomScaleNormal="100" workbookViewId="0">
      <selection activeCell="F30" sqref="F30"/>
    </sheetView>
  </sheetViews>
  <sheetFormatPr baseColWidth="10" defaultColWidth="9.140625" defaultRowHeight="15" x14ac:dyDescent="0.25"/>
  <cols>
    <col min="1" max="1" width="6.85546875" customWidth="1"/>
    <col min="2" max="2" width="15" bestFit="1" customWidth="1"/>
    <col min="3" max="3" width="17.140625" bestFit="1" customWidth="1"/>
    <col min="5" max="5" width="25.85546875" bestFit="1" customWidth="1"/>
    <col min="6" max="6" width="17.7109375" bestFit="1" customWidth="1"/>
    <col min="8" max="8" width="23.85546875" bestFit="1" customWidth="1"/>
    <col min="9" max="9" width="16.7109375" bestFit="1" customWidth="1"/>
    <col min="11" max="11" width="5" bestFit="1" customWidth="1"/>
    <col min="12" max="12" width="11.140625" bestFit="1" customWidth="1"/>
    <col min="13" max="13" width="15.85546875" bestFit="1" customWidth="1"/>
    <col min="14" max="14" width="15.7109375" bestFit="1" customWidth="1"/>
    <col min="15" max="15" width="16.140625" bestFit="1" customWidth="1"/>
    <col min="16" max="16" width="17.140625" bestFit="1" customWidth="1"/>
  </cols>
  <sheetData>
    <row r="2" spans="1:15" ht="15.75" thickBot="1" x14ac:dyDescent="0.3"/>
    <row r="3" spans="1:15" ht="15.75" thickBot="1" x14ac:dyDescent="0.3">
      <c r="B3" s="40"/>
      <c r="C3" s="37" t="s">
        <v>0</v>
      </c>
      <c r="D3" s="1"/>
      <c r="E3" s="10"/>
      <c r="F3" s="38" t="s">
        <v>1</v>
      </c>
      <c r="H3" s="10"/>
      <c r="I3" s="38" t="s">
        <v>137</v>
      </c>
    </row>
    <row r="4" spans="1:15" x14ac:dyDescent="0.25">
      <c r="A4">
        <v>1</v>
      </c>
      <c r="B4" s="10" t="s">
        <v>42</v>
      </c>
      <c r="C4" s="11" t="s">
        <v>209</v>
      </c>
      <c r="E4" s="10" t="s">
        <v>84</v>
      </c>
      <c r="F4" s="11" t="s">
        <v>77</v>
      </c>
      <c r="H4" s="10" t="s">
        <v>104</v>
      </c>
      <c r="I4" s="11" t="s">
        <v>111</v>
      </c>
      <c r="K4">
        <v>2017</v>
      </c>
      <c r="L4" t="s">
        <v>9</v>
      </c>
      <c r="M4" t="s">
        <v>12</v>
      </c>
      <c r="N4" t="s">
        <v>10</v>
      </c>
      <c r="O4" t="s">
        <v>11</v>
      </c>
    </row>
    <row r="5" spans="1:15" x14ac:dyDescent="0.25">
      <c r="A5">
        <v>2</v>
      </c>
      <c r="B5" s="12" t="s">
        <v>42</v>
      </c>
      <c r="C5" s="13" t="s">
        <v>210</v>
      </c>
      <c r="E5" s="12" t="s">
        <v>79</v>
      </c>
      <c r="F5" s="13" t="s">
        <v>216</v>
      </c>
      <c r="H5" s="12" t="s">
        <v>80</v>
      </c>
      <c r="I5" s="36" t="s">
        <v>158</v>
      </c>
      <c r="K5">
        <v>2017</v>
      </c>
      <c r="L5" t="s">
        <v>5</v>
      </c>
      <c r="M5" t="s">
        <v>2</v>
      </c>
      <c r="N5" t="s">
        <v>3</v>
      </c>
      <c r="O5" t="s">
        <v>4</v>
      </c>
    </row>
    <row r="6" spans="1:15" x14ac:dyDescent="0.25">
      <c r="A6">
        <v>3</v>
      </c>
      <c r="B6" s="12" t="s">
        <v>50</v>
      </c>
      <c r="C6" s="13" t="s">
        <v>54</v>
      </c>
      <c r="E6" s="12" t="s">
        <v>81</v>
      </c>
      <c r="F6" s="13" t="s">
        <v>74</v>
      </c>
      <c r="H6" s="12" t="s">
        <v>100</v>
      </c>
      <c r="I6" s="13" t="s">
        <v>73</v>
      </c>
      <c r="K6">
        <v>2017</v>
      </c>
      <c r="L6" t="s">
        <v>16</v>
      </c>
      <c r="M6" t="s">
        <v>19</v>
      </c>
      <c r="N6" t="s">
        <v>17</v>
      </c>
      <c r="O6" t="s">
        <v>18</v>
      </c>
    </row>
    <row r="7" spans="1:15" x14ac:dyDescent="0.25">
      <c r="A7">
        <v>4</v>
      </c>
      <c r="B7" s="12" t="s">
        <v>42</v>
      </c>
      <c r="C7" s="13" t="s">
        <v>44</v>
      </c>
      <c r="E7" s="12" t="s">
        <v>85</v>
      </c>
      <c r="F7" s="13" t="s">
        <v>71</v>
      </c>
      <c r="H7" s="12" t="s">
        <v>164</v>
      </c>
      <c r="I7" s="36" t="s">
        <v>163</v>
      </c>
      <c r="K7">
        <v>2017</v>
      </c>
      <c r="L7" t="s">
        <v>26</v>
      </c>
      <c r="M7" t="s">
        <v>24</v>
      </c>
      <c r="N7" t="s">
        <v>22</v>
      </c>
      <c r="O7" t="s">
        <v>23</v>
      </c>
    </row>
    <row r="8" spans="1:15" x14ac:dyDescent="0.25">
      <c r="A8">
        <v>5</v>
      </c>
      <c r="B8" s="12" t="s">
        <v>66</v>
      </c>
      <c r="C8" s="13" t="s">
        <v>109</v>
      </c>
      <c r="E8" s="12" t="s">
        <v>79</v>
      </c>
      <c r="F8" s="13" t="s">
        <v>217</v>
      </c>
      <c r="H8" s="12" t="s">
        <v>86</v>
      </c>
      <c r="I8" s="13" t="s">
        <v>82</v>
      </c>
      <c r="K8">
        <v>2017</v>
      </c>
      <c r="L8" t="s">
        <v>21</v>
      </c>
      <c r="M8" t="s">
        <v>24</v>
      </c>
      <c r="N8" t="s">
        <v>22</v>
      </c>
      <c r="O8" t="s">
        <v>23</v>
      </c>
    </row>
    <row r="9" spans="1:15" x14ac:dyDescent="0.25">
      <c r="A9">
        <v>6</v>
      </c>
      <c r="B9" s="12" t="s">
        <v>50</v>
      </c>
      <c r="C9" s="13" t="s">
        <v>49</v>
      </c>
      <c r="E9" s="12" t="s">
        <v>79</v>
      </c>
      <c r="F9" s="13" t="s">
        <v>201</v>
      </c>
      <c r="H9" s="12" t="s">
        <v>104</v>
      </c>
      <c r="I9" s="13" t="s">
        <v>105</v>
      </c>
      <c r="K9">
        <v>2018</v>
      </c>
      <c r="L9" t="s">
        <v>26</v>
      </c>
      <c r="M9" t="s">
        <v>2</v>
      </c>
      <c r="N9" t="s">
        <v>3</v>
      </c>
      <c r="O9" t="s">
        <v>4</v>
      </c>
    </row>
    <row r="10" spans="1:15" x14ac:dyDescent="0.25">
      <c r="A10">
        <v>7</v>
      </c>
      <c r="B10" s="12" t="s">
        <v>60</v>
      </c>
      <c r="C10" s="13" t="s">
        <v>59</v>
      </c>
      <c r="E10" s="12" t="s">
        <v>84</v>
      </c>
      <c r="F10" s="13" t="s">
        <v>218</v>
      </c>
      <c r="H10" s="12" t="s">
        <v>90</v>
      </c>
      <c r="I10" s="13" t="s">
        <v>92</v>
      </c>
      <c r="K10">
        <v>2018</v>
      </c>
      <c r="L10" t="s">
        <v>13</v>
      </c>
      <c r="M10" t="s">
        <v>27</v>
      </c>
      <c r="N10" t="s">
        <v>28</v>
      </c>
      <c r="O10" t="s">
        <v>29</v>
      </c>
    </row>
    <row r="11" spans="1:15" x14ac:dyDescent="0.25">
      <c r="A11">
        <v>8</v>
      </c>
      <c r="B11" s="12" t="s">
        <v>50</v>
      </c>
      <c r="C11" s="13" t="s">
        <v>52</v>
      </c>
      <c r="E11" s="12" t="s">
        <v>79</v>
      </c>
      <c r="F11" s="13" t="s">
        <v>61</v>
      </c>
      <c r="H11" s="12" t="s">
        <v>86</v>
      </c>
      <c r="I11" s="13" t="s">
        <v>83</v>
      </c>
      <c r="K11">
        <v>2018</v>
      </c>
      <c r="L11" t="s">
        <v>21</v>
      </c>
      <c r="M11" t="s">
        <v>30</v>
      </c>
      <c r="N11" t="s">
        <v>31</v>
      </c>
      <c r="O11" t="s">
        <v>32</v>
      </c>
    </row>
    <row r="12" spans="1:15" x14ac:dyDescent="0.25">
      <c r="A12">
        <v>9</v>
      </c>
      <c r="B12" s="12" t="s">
        <v>42</v>
      </c>
      <c r="C12" s="13" t="s">
        <v>43</v>
      </c>
      <c r="E12" s="12" t="s">
        <v>110</v>
      </c>
      <c r="F12" s="13" t="s">
        <v>219</v>
      </c>
      <c r="H12" s="12" t="s">
        <v>89</v>
      </c>
      <c r="I12" s="13" t="s">
        <v>88</v>
      </c>
      <c r="K12">
        <v>2018</v>
      </c>
      <c r="L12" t="s">
        <v>19</v>
      </c>
      <c r="M12" t="s">
        <v>24</v>
      </c>
      <c r="N12" t="s">
        <v>22</v>
      </c>
      <c r="O12" t="s">
        <v>23</v>
      </c>
    </row>
    <row r="13" spans="1:15" x14ac:dyDescent="0.25">
      <c r="A13">
        <v>10</v>
      </c>
      <c r="B13" s="12" t="s">
        <v>42</v>
      </c>
      <c r="C13" s="13" t="s">
        <v>48</v>
      </c>
      <c r="E13" s="12" t="s">
        <v>110</v>
      </c>
      <c r="F13" s="13" t="s">
        <v>68</v>
      </c>
      <c r="H13" s="39" t="s">
        <v>202</v>
      </c>
      <c r="I13" s="36" t="s">
        <v>204</v>
      </c>
      <c r="K13">
        <v>2019</v>
      </c>
      <c r="L13" t="s">
        <v>6</v>
      </c>
      <c r="M13" t="s">
        <v>12</v>
      </c>
      <c r="N13" t="s">
        <v>10</v>
      </c>
      <c r="O13" t="s">
        <v>11</v>
      </c>
    </row>
    <row r="14" spans="1:15" x14ac:dyDescent="0.25">
      <c r="A14">
        <v>11</v>
      </c>
      <c r="B14" s="12" t="s">
        <v>50</v>
      </c>
      <c r="C14" s="13" t="s">
        <v>51</v>
      </c>
      <c r="E14" s="12" t="s">
        <v>79</v>
      </c>
      <c r="F14" s="13" t="s">
        <v>62</v>
      </c>
      <c r="H14" s="39" t="s">
        <v>202</v>
      </c>
      <c r="I14" s="36" t="s">
        <v>203</v>
      </c>
      <c r="K14">
        <v>2019</v>
      </c>
      <c r="L14" t="s">
        <v>20</v>
      </c>
      <c r="M14" t="s">
        <v>34</v>
      </c>
      <c r="N14" t="s">
        <v>35</v>
      </c>
      <c r="O14" t="s">
        <v>36</v>
      </c>
    </row>
    <row r="15" spans="1:15" x14ac:dyDescent="0.25">
      <c r="A15">
        <v>12</v>
      </c>
      <c r="B15" s="12" t="s">
        <v>50</v>
      </c>
      <c r="C15" s="13" t="s">
        <v>56</v>
      </c>
      <c r="E15" s="12" t="s">
        <v>110</v>
      </c>
      <c r="F15" s="13" t="s">
        <v>220</v>
      </c>
      <c r="H15" s="12" t="s">
        <v>80</v>
      </c>
      <c r="I15" s="36" t="s">
        <v>156</v>
      </c>
      <c r="K15">
        <v>2019</v>
      </c>
      <c r="L15" t="s">
        <v>5</v>
      </c>
      <c r="M15" t="s">
        <v>13</v>
      </c>
      <c r="N15" t="s">
        <v>39</v>
      </c>
      <c r="O15" t="s">
        <v>40</v>
      </c>
    </row>
    <row r="16" spans="1:15" x14ac:dyDescent="0.25">
      <c r="A16">
        <v>13</v>
      </c>
      <c r="B16" s="12" t="s">
        <v>42</v>
      </c>
      <c r="C16" s="13" t="s">
        <v>106</v>
      </c>
      <c r="E16" s="12" t="s">
        <v>79</v>
      </c>
      <c r="F16" s="13" t="s">
        <v>63</v>
      </c>
      <c r="H16" s="12" t="s">
        <v>80</v>
      </c>
      <c r="I16" s="36" t="s">
        <v>155</v>
      </c>
      <c r="K16">
        <v>2019</v>
      </c>
      <c r="L16" t="s">
        <v>33</v>
      </c>
      <c r="M16" t="s">
        <v>7</v>
      </c>
      <c r="N16" t="s">
        <v>14</v>
      </c>
      <c r="O16" t="s">
        <v>8</v>
      </c>
    </row>
    <row r="17" spans="1:16" x14ac:dyDescent="0.25">
      <c r="A17">
        <v>14</v>
      </c>
      <c r="B17" s="12" t="s">
        <v>42</v>
      </c>
      <c r="C17" s="13" t="s">
        <v>211</v>
      </c>
      <c r="E17" s="12" t="s">
        <v>85</v>
      </c>
      <c r="F17" s="13" t="s">
        <v>221</v>
      </c>
      <c r="H17" s="12" t="s">
        <v>90</v>
      </c>
      <c r="I17" s="13" t="s">
        <v>171</v>
      </c>
      <c r="K17">
        <v>2019</v>
      </c>
      <c r="L17" t="s">
        <v>13</v>
      </c>
      <c r="M17" t="s">
        <v>7</v>
      </c>
      <c r="N17" t="s">
        <v>14</v>
      </c>
      <c r="O17" t="s">
        <v>8</v>
      </c>
    </row>
    <row r="18" spans="1:16" ht="15.75" thickBot="1" x14ac:dyDescent="0.3">
      <c r="A18">
        <v>15</v>
      </c>
      <c r="B18" s="12" t="s">
        <v>50</v>
      </c>
      <c r="C18" s="13" t="s">
        <v>212</v>
      </c>
      <c r="E18" s="14" t="s">
        <v>79</v>
      </c>
      <c r="F18" s="15" t="s">
        <v>64</v>
      </c>
      <c r="H18" s="12" t="s">
        <v>78</v>
      </c>
      <c r="I18" s="13" t="s">
        <v>65</v>
      </c>
      <c r="K18">
        <v>2019</v>
      </c>
      <c r="L18" t="s">
        <v>9</v>
      </c>
      <c r="M18" t="s">
        <v>7</v>
      </c>
      <c r="N18" t="s">
        <v>14</v>
      </c>
      <c r="O18" t="s">
        <v>8</v>
      </c>
    </row>
    <row r="19" spans="1:16" x14ac:dyDescent="0.25">
      <c r="A19">
        <v>16</v>
      </c>
      <c r="B19" s="12" t="s">
        <v>66</v>
      </c>
      <c r="C19" s="13" t="s">
        <v>108</v>
      </c>
      <c r="H19" s="12" t="s">
        <v>80</v>
      </c>
      <c r="I19" s="36" t="s">
        <v>159</v>
      </c>
      <c r="K19">
        <v>2019</v>
      </c>
      <c r="L19" t="s">
        <v>37</v>
      </c>
      <c r="M19" t="s">
        <v>7</v>
      </c>
      <c r="N19" t="s">
        <v>14</v>
      </c>
      <c r="O19" t="s">
        <v>8</v>
      </c>
    </row>
    <row r="20" spans="1:16" x14ac:dyDescent="0.25">
      <c r="A20">
        <v>17</v>
      </c>
      <c r="B20" s="12" t="s">
        <v>50</v>
      </c>
      <c r="C20" s="13" t="s">
        <v>53</v>
      </c>
      <c r="H20" s="12" t="s">
        <v>94</v>
      </c>
      <c r="I20" s="13" t="s">
        <v>200</v>
      </c>
      <c r="K20">
        <v>2019</v>
      </c>
      <c r="L20" t="s">
        <v>26</v>
      </c>
      <c r="M20" t="s">
        <v>7</v>
      </c>
      <c r="N20" t="s">
        <v>14</v>
      </c>
      <c r="O20" t="s">
        <v>8</v>
      </c>
    </row>
    <row r="21" spans="1:16" x14ac:dyDescent="0.25">
      <c r="A21">
        <v>18</v>
      </c>
      <c r="B21" s="12" t="s">
        <v>50</v>
      </c>
      <c r="C21" s="13" t="s">
        <v>213</v>
      </c>
      <c r="H21" s="12" t="s">
        <v>153</v>
      </c>
      <c r="I21" s="13" t="s">
        <v>151</v>
      </c>
      <c r="K21">
        <v>2019</v>
      </c>
      <c r="L21" t="s">
        <v>38</v>
      </c>
      <c r="M21" t="s">
        <v>7</v>
      </c>
      <c r="N21" t="s">
        <v>14</v>
      </c>
      <c r="O21" t="s">
        <v>8</v>
      </c>
      <c r="P21" t="s">
        <v>41</v>
      </c>
    </row>
    <row r="22" spans="1:16" x14ac:dyDescent="0.25">
      <c r="A22">
        <v>19</v>
      </c>
      <c r="B22" s="12" t="s">
        <v>50</v>
      </c>
      <c r="C22" s="13" t="s">
        <v>214</v>
      </c>
      <c r="E22" s="3" t="s">
        <v>238</v>
      </c>
      <c r="H22" s="12" t="s">
        <v>95</v>
      </c>
      <c r="I22" s="13" t="s">
        <v>70</v>
      </c>
      <c r="K22">
        <v>2018</v>
      </c>
      <c r="L22" t="s">
        <v>9</v>
      </c>
      <c r="M22" t="s">
        <v>7</v>
      </c>
      <c r="N22" t="s">
        <v>14</v>
      </c>
      <c r="O22" t="s">
        <v>8</v>
      </c>
    </row>
    <row r="23" spans="1:16" x14ac:dyDescent="0.25">
      <c r="A23">
        <v>20</v>
      </c>
      <c r="B23" s="12" t="s">
        <v>42</v>
      </c>
      <c r="C23" s="13" t="s">
        <v>46</v>
      </c>
      <c r="E23" s="3" t="s">
        <v>239</v>
      </c>
      <c r="H23" s="12" t="s">
        <v>96</v>
      </c>
      <c r="I23" s="13" t="s">
        <v>99</v>
      </c>
      <c r="K23">
        <v>2018</v>
      </c>
      <c r="L23" t="s">
        <v>25</v>
      </c>
      <c r="M23" t="s">
        <v>7</v>
      </c>
      <c r="N23" t="s">
        <v>14</v>
      </c>
      <c r="O23" t="s">
        <v>8</v>
      </c>
    </row>
    <row r="24" spans="1:16" x14ac:dyDescent="0.25">
      <c r="A24">
        <v>21</v>
      </c>
      <c r="B24" s="12" t="s">
        <v>50</v>
      </c>
      <c r="C24" s="13" t="s">
        <v>57</v>
      </c>
      <c r="E24" s="3" t="s">
        <v>242</v>
      </c>
      <c r="H24" s="39" t="s">
        <v>168</v>
      </c>
      <c r="I24" s="36" t="s">
        <v>170</v>
      </c>
      <c r="K24">
        <v>2018</v>
      </c>
      <c r="L24" t="s">
        <v>20</v>
      </c>
      <c r="M24" t="s">
        <v>7</v>
      </c>
      <c r="N24" t="s">
        <v>14</v>
      </c>
      <c r="O24" t="s">
        <v>8</v>
      </c>
    </row>
    <row r="25" spans="1:16" x14ac:dyDescent="0.25">
      <c r="A25">
        <v>22</v>
      </c>
      <c r="B25" s="12" t="s">
        <v>42</v>
      </c>
      <c r="C25" s="13" t="s">
        <v>47</v>
      </c>
      <c r="E25" s="42" t="s">
        <v>241</v>
      </c>
      <c r="H25" s="39" t="s">
        <v>202</v>
      </c>
      <c r="I25" s="36" t="s">
        <v>206</v>
      </c>
      <c r="K25">
        <v>2018</v>
      </c>
      <c r="L25" t="s">
        <v>6</v>
      </c>
      <c r="M25" t="s">
        <v>7</v>
      </c>
      <c r="N25" t="s">
        <v>14</v>
      </c>
      <c r="O25" t="s">
        <v>8</v>
      </c>
    </row>
    <row r="26" spans="1:16" x14ac:dyDescent="0.25">
      <c r="A26">
        <v>23</v>
      </c>
      <c r="B26" s="12" t="s">
        <v>42</v>
      </c>
      <c r="C26" s="13" t="s">
        <v>107</v>
      </c>
      <c r="E26" s="3" t="s">
        <v>240</v>
      </c>
      <c r="H26" s="12" t="s">
        <v>102</v>
      </c>
      <c r="I26" s="13" t="s">
        <v>72</v>
      </c>
      <c r="K26">
        <v>2018</v>
      </c>
      <c r="L26" t="s">
        <v>5</v>
      </c>
      <c r="M26" t="s">
        <v>7</v>
      </c>
      <c r="N26" t="s">
        <v>14</v>
      </c>
      <c r="O26" t="s">
        <v>8</v>
      </c>
    </row>
    <row r="27" spans="1:16" x14ac:dyDescent="0.25">
      <c r="A27">
        <v>24</v>
      </c>
      <c r="B27" s="12" t="s">
        <v>50</v>
      </c>
      <c r="C27" s="13" t="s">
        <v>215</v>
      </c>
      <c r="E27" s="3" t="s">
        <v>153</v>
      </c>
      <c r="H27" s="12" t="s">
        <v>90</v>
      </c>
      <c r="I27" s="13" t="s">
        <v>91</v>
      </c>
      <c r="K27">
        <v>2017</v>
      </c>
      <c r="L27" t="s">
        <v>6</v>
      </c>
      <c r="M27" t="s">
        <v>7</v>
      </c>
      <c r="N27" t="s">
        <v>14</v>
      </c>
      <c r="O27" t="s">
        <v>8</v>
      </c>
    </row>
    <row r="28" spans="1:16" x14ac:dyDescent="0.25">
      <c r="A28">
        <v>25</v>
      </c>
      <c r="B28" s="12" t="s">
        <v>42</v>
      </c>
      <c r="C28" s="13" t="s">
        <v>45</v>
      </c>
      <c r="E28" s="42" t="s">
        <v>164</v>
      </c>
      <c r="H28" s="12" t="s">
        <v>89</v>
      </c>
      <c r="I28" s="13" t="s">
        <v>87</v>
      </c>
      <c r="K28">
        <v>2017</v>
      </c>
      <c r="L28" t="s">
        <v>25</v>
      </c>
      <c r="M28" t="s">
        <v>7</v>
      </c>
      <c r="N28" t="s">
        <v>14</v>
      </c>
      <c r="O28" t="s">
        <v>8</v>
      </c>
    </row>
    <row r="29" spans="1:16" x14ac:dyDescent="0.25">
      <c r="A29">
        <v>26</v>
      </c>
      <c r="B29" s="12" t="s">
        <v>50</v>
      </c>
      <c r="C29" s="13" t="s">
        <v>58</v>
      </c>
      <c r="E29" s="3" t="s">
        <v>237</v>
      </c>
      <c r="H29" s="12" t="s">
        <v>100</v>
      </c>
      <c r="I29" s="13" t="s">
        <v>67</v>
      </c>
      <c r="K29">
        <v>2017</v>
      </c>
      <c r="L29" t="s">
        <v>20</v>
      </c>
      <c r="M29" t="s">
        <v>7</v>
      </c>
      <c r="N29" t="s">
        <v>14</v>
      </c>
      <c r="O29" t="s">
        <v>8</v>
      </c>
    </row>
    <row r="30" spans="1:16" ht="15.75" thickBot="1" x14ac:dyDescent="0.3">
      <c r="A30">
        <v>27</v>
      </c>
      <c r="B30" s="14" t="s">
        <v>50</v>
      </c>
      <c r="C30" s="15" t="s">
        <v>55</v>
      </c>
      <c r="E30" s="42" t="s">
        <v>243</v>
      </c>
      <c r="H30" s="39" t="s">
        <v>168</v>
      </c>
      <c r="I30" s="36" t="s">
        <v>169</v>
      </c>
      <c r="K30">
        <v>2017</v>
      </c>
      <c r="L30" t="s">
        <v>13</v>
      </c>
      <c r="M30" t="s">
        <v>7</v>
      </c>
      <c r="N30" t="s">
        <v>14</v>
      </c>
      <c r="O30" t="s">
        <v>15</v>
      </c>
    </row>
    <row r="31" spans="1:16" x14ac:dyDescent="0.25">
      <c r="E31" s="42" t="s">
        <v>202</v>
      </c>
      <c r="H31" s="12" t="s">
        <v>80</v>
      </c>
      <c r="I31" s="36" t="s">
        <v>161</v>
      </c>
    </row>
    <row r="32" spans="1:16" x14ac:dyDescent="0.25">
      <c r="E32" s="42" t="s">
        <v>244</v>
      </c>
      <c r="H32" s="12" t="s">
        <v>80</v>
      </c>
      <c r="I32" s="36" t="s">
        <v>157</v>
      </c>
    </row>
    <row r="33" spans="5:9" x14ac:dyDescent="0.25">
      <c r="E33" s="42" t="s">
        <v>245</v>
      </c>
      <c r="H33" s="12" t="s">
        <v>101</v>
      </c>
      <c r="I33" s="13" t="s">
        <v>69</v>
      </c>
    </row>
    <row r="34" spans="5:9" x14ac:dyDescent="0.25">
      <c r="H34" s="12" t="s">
        <v>96</v>
      </c>
      <c r="I34" s="13" t="s">
        <v>98</v>
      </c>
    </row>
    <row r="35" spans="5:9" x14ac:dyDescent="0.25">
      <c r="H35" s="39" t="s">
        <v>165</v>
      </c>
      <c r="I35" s="36" t="s">
        <v>166</v>
      </c>
    </row>
    <row r="36" spans="5:9" x14ac:dyDescent="0.25">
      <c r="H36" s="39" t="s">
        <v>165</v>
      </c>
      <c r="I36" s="36" t="s">
        <v>167</v>
      </c>
    </row>
    <row r="37" spans="5:9" x14ac:dyDescent="0.25">
      <c r="H37" s="12" t="s">
        <v>90</v>
      </c>
      <c r="I37" s="13" t="s">
        <v>93</v>
      </c>
    </row>
    <row r="38" spans="5:9" x14ac:dyDescent="0.25">
      <c r="H38" s="12" t="s">
        <v>103</v>
      </c>
      <c r="I38" s="13" t="s">
        <v>75</v>
      </c>
    </row>
    <row r="39" spans="5:9" x14ac:dyDescent="0.25">
      <c r="H39" s="12" t="s">
        <v>80</v>
      </c>
      <c r="I39" s="36" t="s">
        <v>154</v>
      </c>
    </row>
    <row r="40" spans="5:9" x14ac:dyDescent="0.25">
      <c r="H40" s="12" t="s">
        <v>80</v>
      </c>
      <c r="I40" s="13" t="s">
        <v>172</v>
      </c>
    </row>
    <row r="41" spans="5:9" x14ac:dyDescent="0.25">
      <c r="H41" s="12" t="s">
        <v>103</v>
      </c>
      <c r="I41" s="13" t="s">
        <v>76</v>
      </c>
    </row>
    <row r="42" spans="5:9" x14ac:dyDescent="0.25">
      <c r="H42" s="12" t="s">
        <v>80</v>
      </c>
      <c r="I42" s="36" t="s">
        <v>160</v>
      </c>
    </row>
    <row r="43" spans="5:9" x14ac:dyDescent="0.25">
      <c r="H43" s="39" t="s">
        <v>202</v>
      </c>
      <c r="I43" s="36" t="s">
        <v>205</v>
      </c>
    </row>
    <row r="44" spans="5:9" x14ac:dyDescent="0.25">
      <c r="H44" s="12" t="s">
        <v>96</v>
      </c>
      <c r="I44" s="13" t="s">
        <v>97</v>
      </c>
    </row>
    <row r="45" spans="5:9" ht="15.75" thickBot="1" x14ac:dyDescent="0.3">
      <c r="H45" s="14" t="s">
        <v>153</v>
      </c>
      <c r="I45" s="15" t="s">
        <v>152</v>
      </c>
    </row>
  </sheetData>
  <sortState xmlns:xlrd2="http://schemas.microsoft.com/office/spreadsheetml/2017/richdata2" ref="B4:C30">
    <sortCondition ref="C4:C30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6</vt:i4>
      </vt:variant>
    </vt:vector>
  </HeadingPairs>
  <TitlesOfParts>
    <vt:vector size="23" baseType="lpstr">
      <vt:lpstr>Inscritos_Mangas_ELSOT</vt:lpstr>
      <vt:lpstr>Verificaciones_ELSOT</vt:lpstr>
      <vt:lpstr>Inscritos_Mangas_S4Y</vt:lpstr>
      <vt:lpstr>Verificaciones_S4Y</vt:lpstr>
      <vt:lpstr>Inscritos_Mangas_SLOTCAR</vt:lpstr>
      <vt:lpstr>Verificaciones_SLOTCAR</vt:lpstr>
      <vt:lpstr>Inscritos_Mangas_SLOTSAB</vt:lpstr>
      <vt:lpstr>Verificaciones_SLOTSAB</vt:lpstr>
      <vt:lpstr>Listado Pilotos</vt:lpstr>
      <vt:lpstr>Tabla_de_Datos_GENERALES</vt:lpstr>
      <vt:lpstr>Tabla_de_Datos_COCHES</vt:lpstr>
      <vt:lpstr>CUADRO GENERAL</vt:lpstr>
      <vt:lpstr>Clasificación_General</vt:lpstr>
      <vt:lpstr>Clasificacion_final_2019</vt:lpstr>
      <vt:lpstr>OLD_Cuadros resumen</vt:lpstr>
      <vt:lpstr>OLD_Cuadro Gen resumen handicap</vt:lpstr>
      <vt:lpstr>OLD_Lista Pilotos</vt:lpstr>
      <vt:lpstr>'CUADRO GENERAL'!Área_de_impresión</vt:lpstr>
      <vt:lpstr>'OLD_Cuadro Gen resumen handicap'!Área_de_impresión</vt:lpstr>
      <vt:lpstr>Verificaciones_ELSOT!Área_de_impresión</vt:lpstr>
      <vt:lpstr>Verificaciones_S4Y!Área_de_impresión</vt:lpstr>
      <vt:lpstr>Verificaciones_SLOTCAR!Área_de_impresión</vt:lpstr>
      <vt:lpstr>Verificaciones_SLOTSAB!Área_de_impresión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2020-01-05T15:51:40Z</dcterms:modified>
</cp:coreProperties>
</file>
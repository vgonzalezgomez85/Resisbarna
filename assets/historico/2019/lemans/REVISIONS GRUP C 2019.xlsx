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de\Desktop\SLOT\RESISBARNA\Resisbarna 2019\2019 RESISLEMANS\Slot Car\"/>
    </mc:Choice>
  </mc:AlternateContent>
  <xr:revisionPtr revIDLastSave="0" documentId="13_ncr:1_{61A10943-63AF-4D10-9D38-9C55111BA6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1" i="1" l="1"/>
  <c r="O113" i="1"/>
  <c r="S103" i="1"/>
  <c r="S92" i="1"/>
  <c r="M107" i="1"/>
  <c r="T103" i="1" l="1"/>
  <c r="Q113" i="1"/>
  <c r="P113" i="1"/>
  <c r="M99" i="1"/>
  <c r="M97" i="1"/>
  <c r="M87" i="1"/>
  <c r="R113" i="1" l="1"/>
  <c r="N77" i="1" l="1"/>
  <c r="N76" i="1"/>
  <c r="N75" i="1"/>
  <c r="N74" i="1"/>
  <c r="N73" i="1"/>
  <c r="N72" i="1"/>
  <c r="N65" i="1"/>
  <c r="N63" i="1"/>
  <c r="N62" i="1"/>
  <c r="N61" i="1"/>
  <c r="N60" i="1"/>
  <c r="M59" i="1"/>
  <c r="N59" i="1" s="1"/>
  <c r="N58" i="1"/>
  <c r="O81" i="1" l="1"/>
</calcChain>
</file>

<file path=xl/sharedStrings.xml><?xml version="1.0" encoding="utf-8"?>
<sst xmlns="http://schemas.openxmlformats.org/spreadsheetml/2006/main" count="370" uniqueCount="159">
  <si>
    <t>NOM EQUIP</t>
  </si>
  <si>
    <t>PILOTS</t>
  </si>
  <si>
    <t>COTXE</t>
  </si>
  <si>
    <t>PES CARRO.</t>
  </si>
  <si>
    <t>NUM MOTOR</t>
  </si>
  <si>
    <t>SUSP.</t>
  </si>
  <si>
    <t>PINIO</t>
  </si>
  <si>
    <t>CORONA</t>
  </si>
  <si>
    <t>SLOT34YOU</t>
  </si>
  <si>
    <t>ADAM PARERA-JORDI PEREZ</t>
  </si>
  <si>
    <t>NISSAN</t>
  </si>
  <si>
    <t>0-M-M</t>
  </si>
  <si>
    <t>E</t>
  </si>
  <si>
    <t>26 P</t>
  </si>
  <si>
    <t>MOMO RALLY</t>
  </si>
  <si>
    <t>URI CAPDEVILA-CARLES CARREÑO</t>
  </si>
  <si>
    <t>TOYOTA</t>
  </si>
  <si>
    <t>0-0-M</t>
  </si>
  <si>
    <t>C</t>
  </si>
  <si>
    <t>EL SOT FU</t>
  </si>
  <si>
    <t>JORDI ROBLES-ALEX ROBLES</t>
  </si>
  <si>
    <t>26 M</t>
  </si>
  <si>
    <t xml:space="preserve">EL SOT M&amp;O </t>
  </si>
  <si>
    <t>MANEL SORIANO-OSCAR VILA</t>
  </si>
  <si>
    <t>SLOT CAR TRUCKS</t>
  </si>
  <si>
    <t>SERGI CARTRO-XAVIER VERNET</t>
  </si>
  <si>
    <t>0-M-I</t>
  </si>
  <si>
    <t>SLOT CAR &amp; SAB</t>
  </si>
  <si>
    <t>GERMAN SAEZ-RAUL EGEA</t>
  </si>
  <si>
    <t>LANCIA</t>
  </si>
  <si>
    <t>SLOTMANIA MOMO</t>
  </si>
  <si>
    <t>BESAY PORTA-JOSEP M. MOLINS</t>
  </si>
  <si>
    <t>PORSCHE 962</t>
  </si>
  <si>
    <t>0-0-I</t>
  </si>
  <si>
    <t xml:space="preserve">ELSOT TEAM  </t>
  </si>
  <si>
    <t>EDUARD CERDA-JOSEP M. SEREROLS</t>
  </si>
  <si>
    <t>ARREPLEGATS</t>
  </si>
  <si>
    <t>MARC LANSAC-JULEN VALBUENA-GERMA PORTET</t>
  </si>
  <si>
    <t>CRIC CRAC</t>
  </si>
  <si>
    <t>VALERI JOMANA-ISRAEL GOMEZ</t>
  </si>
  <si>
    <t>I3D</t>
  </si>
  <si>
    <t>IGNASI BALDOMINOS-SECUND RIO</t>
  </si>
  <si>
    <t>BICIESTACIO</t>
  </si>
  <si>
    <t>EDU GIL-ALBERT TOMAS</t>
  </si>
  <si>
    <t>0-I-M</t>
  </si>
  <si>
    <t>SLOT4YOU</t>
  </si>
  <si>
    <t>VICENS FEBRERO-JOELMENDIZABAL</t>
  </si>
  <si>
    <t>HOTSLOTFORYOU</t>
  </si>
  <si>
    <t>VAXI CORTADA-JORDI CANYELLES</t>
  </si>
  <si>
    <t>OK</t>
  </si>
  <si>
    <t>SLOTMANIA RIDERS</t>
  </si>
  <si>
    <t>SERGI SOLA-DAVID IZQUIERDO</t>
  </si>
  <si>
    <t>UNITED DRIVERS</t>
  </si>
  <si>
    <t>ISRAEL NEVADO- VICTOR GONZALEZ</t>
  </si>
  <si>
    <t>PORSCHE</t>
  </si>
  <si>
    <t>SLOT CAR CAVI</t>
  </si>
  <si>
    <t>FRANCESC VIVAS-TONI CASTAÑE</t>
  </si>
  <si>
    <t>SLOT CAR SRT</t>
  </si>
  <si>
    <t>MARCNOMEN-ADOLFO CHICO</t>
  </si>
  <si>
    <t>M-TEAM</t>
  </si>
  <si>
    <t>SERGI MARTINEZ-JOSE M.MARTINEZ</t>
  </si>
  <si>
    <t>POTABLAVATEAM</t>
  </si>
  <si>
    <t>PEDRO MARTINEZ-PEDRO MARTINEZ JR.</t>
  </si>
  <si>
    <t>SAUBER</t>
  </si>
  <si>
    <t>V TEAM</t>
  </si>
  <si>
    <t>VICTOR VELASCO- ABEL VIZU</t>
  </si>
  <si>
    <t>GAS CLAVAT</t>
  </si>
  <si>
    <t>LLUIS-JESUS</t>
  </si>
  <si>
    <t>PISTA</t>
  </si>
  <si>
    <t>PUNTS</t>
  </si>
  <si>
    <t>PAGAT 25</t>
  </si>
  <si>
    <t>JUEVES</t>
  </si>
  <si>
    <t>21H</t>
  </si>
  <si>
    <t xml:space="preserve">SLOT CAR SRT. </t>
  </si>
  <si>
    <t>Marc Nomen - Adolfo Chico</t>
  </si>
  <si>
    <t xml:space="preserve">CRIC CRAC. </t>
  </si>
  <si>
    <t>Valeri Jonama - Israel Gomez</t>
  </si>
  <si>
    <t xml:space="preserve">SLOT4YOU. </t>
  </si>
  <si>
    <t>Vicens Febrero - Joel Mendizabal</t>
  </si>
  <si>
    <t>SLOT-CAR CAVI.</t>
  </si>
  <si>
    <t>Francesc Vivas - Toni Castañe</t>
  </si>
  <si>
    <t>D-1</t>
  </si>
  <si>
    <t>SLOT- CAR &amp; SAB.</t>
  </si>
  <si>
    <t>German Saez - Raul Egea</t>
  </si>
  <si>
    <t xml:space="preserve">DREAM SLOT ESTELATS </t>
  </si>
  <si>
    <t>Jordi Simo - Carles Carreño</t>
  </si>
  <si>
    <t>L</t>
  </si>
  <si>
    <t xml:space="preserve">PSV. </t>
  </si>
  <si>
    <t>Ricard Portabella - Oriol Visa - Enric Segura</t>
  </si>
  <si>
    <t>D-2</t>
  </si>
  <si>
    <t xml:space="preserve">ROOKIES SLOT CAR. </t>
  </si>
  <si>
    <t>Joan Catalan- Bernat Vivas</t>
  </si>
  <si>
    <t>VIERNES</t>
  </si>
  <si>
    <t>21h</t>
  </si>
  <si>
    <t xml:space="preserve">ARREPLEGATS. </t>
  </si>
  <si>
    <t>Marc Lansac - Julen Valbuena-Germa Portet</t>
  </si>
  <si>
    <t xml:space="preserve">SLOTMANIA RIDERS. </t>
  </si>
  <si>
    <t>Sergi Sola- David izquierdo</t>
  </si>
  <si>
    <t xml:space="preserve">BICI ESTACIO. </t>
  </si>
  <si>
    <t>Edu Gil - Albert Tomás</t>
  </si>
  <si>
    <t xml:space="preserve">SLOT- CAR TRUCKS. </t>
  </si>
  <si>
    <t xml:space="preserve">Sergi Cartró - Xavier Vernet.  </t>
  </si>
  <si>
    <t xml:space="preserve">UNITED DRIVERS. </t>
  </si>
  <si>
    <t>Israel Nevado - Victor González</t>
  </si>
  <si>
    <t>D1</t>
  </si>
  <si>
    <t xml:space="preserve">NISSAN </t>
  </si>
  <si>
    <t xml:space="preserve">El SOT FU. </t>
  </si>
  <si>
    <t>Jordi Robles - Lorenzo Rodriguez</t>
  </si>
  <si>
    <t>D3</t>
  </si>
  <si>
    <t xml:space="preserve">GAS CLAVAT. </t>
  </si>
  <si>
    <t>Juanra Mesas - Angel Navarro</t>
  </si>
  <si>
    <t>CRONO 1</t>
  </si>
  <si>
    <t>Miguel A. Garcia - Javi Muñoz</t>
  </si>
  <si>
    <t>D2</t>
  </si>
  <si>
    <t>STP RACING.</t>
  </si>
  <si>
    <t>Gabriel Rodriguez - Richard Arredondo</t>
  </si>
  <si>
    <t>SABADO</t>
  </si>
  <si>
    <t>10H</t>
  </si>
  <si>
    <t xml:space="preserve">SLOTMANIA RIDERS                   </t>
  </si>
  <si>
    <t xml:space="preserve">SERGI SOLA / DAVID IZQUIERDO                         </t>
  </si>
  <si>
    <t>ESTELATS</t>
  </si>
  <si>
    <t xml:space="preserve">SLOT CAR CAVI                                       </t>
  </si>
  <si>
    <t xml:space="preserve">FRANCESC VIVAS / TONI CASTAÑE                                             </t>
  </si>
  <si>
    <t>MARC LANSAC / JULEN VALBUENA / GERMA PORTET  </t>
  </si>
  <si>
    <t>CRIC CRAC                          </t>
  </si>
  <si>
    <t>ISRA GOMEZ / VALERI JOMANA                              </t>
  </si>
  <si>
    <t>SLOTFORYOU</t>
  </si>
  <si>
    <t>JOEL MENDIZABAL / VICENS FEBRERO                    </t>
  </si>
  <si>
    <t xml:space="preserve">EL SOT FU                                          </t>
  </si>
  <si>
    <t xml:space="preserve">UNITED DRIVERS             </t>
  </si>
  <si>
    <t xml:space="preserve">ISRA NEVADO / VICTOR GONZALEZ                   </t>
  </si>
  <si>
    <t>STP RACING            </t>
  </si>
  <si>
    <t>RICHARD ARREDONDO / GABRIEL RODRIGUEZ                </t>
  </si>
  <si>
    <t>SLOT34YOU                     </t>
  </si>
  <si>
    <t>ADAM PARERA / JORDI PEREZ                              </t>
  </si>
  <si>
    <t xml:space="preserve">EL SOT TEAM           </t>
  </si>
  <si>
    <t xml:space="preserve">EDUARD CERDA / JOSEP Mª SEREROLS                 </t>
  </si>
  <si>
    <t>GASCLAVAT                                                     </t>
  </si>
  <si>
    <t>GRANOLLERS BATUA L'OLLA                                      </t>
  </si>
  <si>
    <t>OSCAR ALARCON  / XAVI ARANDA                                        </t>
  </si>
  <si>
    <t xml:space="preserve">GRANOLLERS SPORT                                               </t>
  </si>
  <si>
    <t>CMBSC</t>
  </si>
  <si>
    <t>EDU URRUTIA / CRISTIAN ACACIO</t>
  </si>
  <si>
    <t xml:space="preserve">LORENZO RODRIGUEZ / JORDI ROBLES                                                   </t>
  </si>
  <si>
    <t>GRANOLLERS</t>
  </si>
  <si>
    <t>JORDI SIMO / DAVID MERCADER</t>
  </si>
  <si>
    <t>MANEL SORIANO / OSCAR CAPEL</t>
  </si>
  <si>
    <t>PORSCHE 956KH</t>
  </si>
  <si>
    <t>EL SOT SPORT</t>
  </si>
  <si>
    <t>PORSCHE IMSA</t>
  </si>
  <si>
    <t xml:space="preserve">MIKEL LOVE / ENRIC ILLA                                                           </t>
  </si>
  <si>
    <t>CARLES CARREÑO/ JORDI RIEROLA/ MARC GARCIA</t>
  </si>
  <si>
    <t>DREAM SLOT</t>
  </si>
  <si>
    <t>ANGEL NAVARRO / JUANRA MESAS                                                                </t>
  </si>
  <si>
    <t>MAZDA</t>
  </si>
  <si>
    <t>18.02</t>
  </si>
  <si>
    <t>18.88</t>
  </si>
  <si>
    <t>18.12</t>
  </si>
  <si>
    <t>18.04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</si>
</sst>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2" borderId="4" xfId="0" applyFont="1" applyFill="1" applyBorder="1"/>
    <xf numFmtId="0" fontId="1" fillId="0" borderId="5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Fill="1" applyBorder="1"/>
    <xf numFmtId="0" fontId="1" fillId="0" borderId="6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" fillId="0" borderId="0" xfId="0" applyFont="1" applyBorder="1"/>
    <xf numFmtId="0" fontId="2" fillId="0" borderId="0" xfId="0" applyFont="1" applyFill="1" applyBorder="1"/>
    <xf numFmtId="0" fontId="2" fillId="0" borderId="0" xfId="0" applyFont="1" applyFill="1" applyAlignment="1"/>
    <xf numFmtId="0" fontId="2" fillId="0" borderId="0" xfId="0" applyFont="1" applyAlignme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Fill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9" xfId="0" applyFont="1" applyBorder="1"/>
    <xf numFmtId="0" fontId="1" fillId="0" borderId="7" xfId="0" applyFont="1" applyBorder="1"/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 vertical="top"/>
    </xf>
    <xf numFmtId="0" fontId="5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/>
    <xf numFmtId="0" fontId="5" fillId="0" borderId="0" xfId="0" applyFont="1" applyBorder="1" applyAlignment="1">
      <alignment vertical="top" wrapText="1"/>
    </xf>
    <xf numFmtId="0" fontId="0" fillId="0" borderId="0" xfId="0" applyBorder="1" applyAlignment="1">
      <alignment horizontal="right" vertical="top"/>
    </xf>
    <xf numFmtId="0" fontId="0" fillId="0" borderId="0" xfId="0" applyBorder="1" applyAlignment="1">
      <alignment horizontal="center"/>
    </xf>
    <xf numFmtId="0" fontId="1" fillId="0" borderId="8" xfId="0" applyFont="1" applyBorder="1"/>
    <xf numFmtId="0" fontId="1" fillId="3" borderId="0" xfId="0" applyFont="1" applyFill="1" applyBorder="1"/>
    <xf numFmtId="0" fontId="2" fillId="3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right" vertical="top"/>
    </xf>
    <xf numFmtId="0" fontId="2" fillId="0" borderId="0" xfId="0" applyFont="1" applyFill="1" applyBorder="1" applyAlignment="1"/>
    <xf numFmtId="0" fontId="5" fillId="0" borderId="0" xfId="0" applyFont="1" applyFill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5" fillId="0" borderId="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16"/>
  <sheetViews>
    <sheetView tabSelected="1" zoomScale="110" zoomScaleNormal="110" workbookViewId="0">
      <selection activeCell="C107" sqref="C107:E107"/>
    </sheetView>
  </sheetViews>
  <sheetFormatPr baseColWidth="10" defaultColWidth="11.42578125" defaultRowHeight="15"/>
  <cols>
    <col min="1" max="1" width="11.42578125" style="1"/>
    <col min="2" max="2" width="21" style="1" customWidth="1"/>
    <col min="3" max="4" width="11.42578125" style="1"/>
    <col min="5" max="5" width="26.28515625" style="1" customWidth="1"/>
    <col min="6" max="6" width="11.42578125" style="1"/>
    <col min="7" max="7" width="16.28515625" style="1" bestFit="1" customWidth="1"/>
    <col min="8" max="8" width="11.42578125" style="2"/>
    <col min="9" max="9" width="12.5703125" style="1" customWidth="1"/>
    <col min="10" max="12" width="11.42578125" style="1"/>
    <col min="13" max="14" width="11.42578125" style="2"/>
    <col min="15" max="16384" width="11.42578125" style="1"/>
  </cols>
  <sheetData>
    <row r="2" spans="1:28">
      <c r="B2" s="1" t="s">
        <v>0</v>
      </c>
      <c r="C2" s="1" t="s">
        <v>1</v>
      </c>
      <c r="G2" s="1" t="s">
        <v>2</v>
      </c>
      <c r="H2" s="2" t="s">
        <v>3</v>
      </c>
      <c r="I2" s="1" t="s">
        <v>4</v>
      </c>
      <c r="J2" s="1" t="s">
        <v>5</v>
      </c>
      <c r="K2" s="1" t="s">
        <v>6</v>
      </c>
      <c r="L2" s="1" t="s">
        <v>7</v>
      </c>
    </row>
    <row r="3" spans="1:28" ht="15.75" thickBot="1">
      <c r="G3" s="3"/>
      <c r="H3" s="4"/>
      <c r="I3" s="3"/>
      <c r="J3" s="3"/>
      <c r="K3" s="3"/>
      <c r="L3" s="3"/>
      <c r="M3" s="4"/>
    </row>
    <row r="4" spans="1:28">
      <c r="A4" s="1">
        <v>4</v>
      </c>
      <c r="B4" s="5" t="s">
        <v>8</v>
      </c>
      <c r="C4" s="6" t="s">
        <v>9</v>
      </c>
      <c r="D4" s="6"/>
      <c r="E4" s="6"/>
      <c r="F4" s="6"/>
      <c r="G4" s="1" t="s">
        <v>10</v>
      </c>
      <c r="H4" s="2">
        <v>18</v>
      </c>
      <c r="I4" s="1">
        <v>21</v>
      </c>
      <c r="J4" s="1" t="s">
        <v>11</v>
      </c>
      <c r="K4" s="1" t="s">
        <v>12</v>
      </c>
      <c r="L4" s="1" t="s">
        <v>13</v>
      </c>
      <c r="M4" s="27"/>
      <c r="N4" s="9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>
      <c r="B5" s="7"/>
      <c r="C5" s="8"/>
      <c r="D5" s="8"/>
      <c r="E5" s="8"/>
      <c r="F5" s="8"/>
      <c r="G5" s="8"/>
      <c r="H5" s="9"/>
      <c r="I5" s="8"/>
      <c r="J5" s="8"/>
      <c r="K5" s="8"/>
      <c r="L5" s="8"/>
      <c r="M5" s="27"/>
      <c r="N5" s="9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>
      <c r="A6" s="1">
        <v>2</v>
      </c>
      <c r="B6" s="7" t="s">
        <v>14</v>
      </c>
      <c r="C6" s="8" t="s">
        <v>15</v>
      </c>
      <c r="D6" s="8"/>
      <c r="E6" s="8"/>
      <c r="F6" s="8"/>
      <c r="G6" s="8" t="s">
        <v>16</v>
      </c>
      <c r="H6" s="9">
        <v>18.100000000000001</v>
      </c>
      <c r="I6" s="8">
        <v>4</v>
      </c>
      <c r="J6" s="8" t="s">
        <v>17</v>
      </c>
      <c r="K6" s="8" t="s">
        <v>18</v>
      </c>
      <c r="L6" s="13" t="s">
        <v>13</v>
      </c>
      <c r="M6" s="27"/>
      <c r="N6" s="9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>
      <c r="B7" s="7"/>
      <c r="C7" s="8"/>
      <c r="D7" s="8"/>
      <c r="E7" s="8"/>
      <c r="F7" s="8"/>
      <c r="G7" s="8"/>
      <c r="H7" s="9"/>
      <c r="I7" s="8"/>
      <c r="J7" s="8"/>
      <c r="K7" s="8"/>
      <c r="L7" s="8"/>
      <c r="M7" s="27"/>
      <c r="N7" s="9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>
      <c r="A8" s="1">
        <v>1</v>
      </c>
      <c r="B8" s="7" t="s">
        <v>19</v>
      </c>
      <c r="C8" s="8" t="s">
        <v>20</v>
      </c>
      <c r="D8" s="8"/>
      <c r="E8" s="8"/>
      <c r="F8" s="8"/>
      <c r="G8" s="8" t="s">
        <v>10</v>
      </c>
      <c r="H8" s="9">
        <v>18.2</v>
      </c>
      <c r="I8" s="8">
        <v>9</v>
      </c>
      <c r="J8" s="8" t="s">
        <v>11</v>
      </c>
      <c r="K8" s="8" t="s">
        <v>18</v>
      </c>
      <c r="L8" s="8" t="s">
        <v>21</v>
      </c>
      <c r="M8" s="27"/>
      <c r="N8" s="9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>
      <c r="B9" s="7"/>
      <c r="C9" s="8"/>
      <c r="D9" s="8"/>
      <c r="E9" s="8"/>
      <c r="F9" s="8"/>
      <c r="G9" s="8"/>
      <c r="H9" s="9"/>
      <c r="I9" s="8"/>
      <c r="J9" s="8"/>
      <c r="K9" s="8"/>
      <c r="L9" s="8"/>
      <c r="M9" s="27"/>
      <c r="N9" s="9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>
      <c r="A10" s="1">
        <v>5</v>
      </c>
      <c r="B10" s="7" t="s">
        <v>22</v>
      </c>
      <c r="C10" s="8" t="s">
        <v>23</v>
      </c>
      <c r="D10" s="8"/>
      <c r="E10" s="8"/>
      <c r="F10" s="8"/>
      <c r="G10" s="8" t="s">
        <v>10</v>
      </c>
      <c r="H10" s="9">
        <v>18.07</v>
      </c>
      <c r="I10" s="8">
        <v>13</v>
      </c>
      <c r="J10" s="8" t="s">
        <v>11</v>
      </c>
      <c r="K10" s="8" t="s">
        <v>12</v>
      </c>
      <c r="L10" s="13" t="s">
        <v>13</v>
      </c>
      <c r="M10" s="27"/>
      <c r="N10" s="9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>
      <c r="B11" s="7"/>
      <c r="C11" s="8"/>
      <c r="D11" s="8"/>
      <c r="E11" s="8"/>
      <c r="F11" s="8"/>
      <c r="G11" s="8"/>
      <c r="H11" s="9"/>
      <c r="I11" s="8"/>
      <c r="J11" s="8"/>
      <c r="K11" s="8"/>
      <c r="L11" s="8"/>
      <c r="M11" s="27"/>
      <c r="N11" s="9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>
      <c r="A12" s="1">
        <v>3</v>
      </c>
      <c r="B12" s="7" t="s">
        <v>24</v>
      </c>
      <c r="C12" s="8" t="s">
        <v>25</v>
      </c>
      <c r="D12" s="8"/>
      <c r="E12" s="8"/>
      <c r="F12" s="8"/>
      <c r="G12" s="8" t="s">
        <v>16</v>
      </c>
      <c r="H12" s="9">
        <v>18.82</v>
      </c>
      <c r="I12" s="8">
        <v>8</v>
      </c>
      <c r="J12" s="8" t="s">
        <v>26</v>
      </c>
      <c r="K12" s="8" t="s">
        <v>12</v>
      </c>
      <c r="L12" s="13" t="s">
        <v>13</v>
      </c>
      <c r="M12" s="27"/>
      <c r="N12" s="9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>
      <c r="B13" s="7"/>
      <c r="C13" s="8"/>
      <c r="D13" s="8"/>
      <c r="E13" s="8"/>
      <c r="F13" s="8"/>
      <c r="G13" s="8"/>
      <c r="H13" s="9"/>
      <c r="I13" s="8"/>
      <c r="J13" s="8"/>
      <c r="K13" s="8"/>
      <c r="L13" s="8"/>
      <c r="M13" s="27"/>
      <c r="N13" s="9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>
      <c r="A14" s="1">
        <v>6</v>
      </c>
      <c r="B14" s="10" t="s">
        <v>27</v>
      </c>
      <c r="C14" s="8" t="s">
        <v>28</v>
      </c>
      <c r="D14" s="8"/>
      <c r="E14" s="8"/>
      <c r="F14" s="8"/>
      <c r="G14" s="8" t="s">
        <v>29</v>
      </c>
      <c r="H14" s="9">
        <v>18.149999999999999</v>
      </c>
      <c r="I14" s="8">
        <v>17</v>
      </c>
      <c r="J14" s="8" t="s">
        <v>11</v>
      </c>
      <c r="K14" s="8" t="s">
        <v>12</v>
      </c>
      <c r="L14" s="8" t="s">
        <v>13</v>
      </c>
      <c r="M14" s="27"/>
      <c r="N14" s="9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>
      <c r="B15" s="7"/>
      <c r="C15" s="8"/>
      <c r="D15" s="8"/>
      <c r="E15" s="8"/>
      <c r="F15" s="8"/>
      <c r="G15" s="8"/>
      <c r="H15" s="9"/>
      <c r="I15" s="8"/>
      <c r="J15" s="8"/>
      <c r="K15" s="8"/>
      <c r="L15" s="8"/>
      <c r="M15" s="27"/>
      <c r="N15" s="9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5.75" thickBot="1">
      <c r="B16" s="11"/>
      <c r="C16" s="3"/>
      <c r="D16" s="3"/>
      <c r="E16" s="3"/>
      <c r="F16" s="3"/>
      <c r="G16" s="3"/>
      <c r="H16" s="4"/>
      <c r="I16" s="3"/>
      <c r="J16" s="3"/>
      <c r="K16" s="3"/>
      <c r="L16" s="3"/>
      <c r="M16" s="28"/>
    </row>
    <row r="17" spans="1:13" ht="15.75" thickBot="1">
      <c r="B17" s="1" t="s">
        <v>0</v>
      </c>
      <c r="C17" s="1" t="s">
        <v>1</v>
      </c>
      <c r="G17" s="1" t="s">
        <v>2</v>
      </c>
      <c r="H17" s="2" t="s">
        <v>3</v>
      </c>
      <c r="I17" s="1" t="s">
        <v>4</v>
      </c>
      <c r="J17" s="1" t="s">
        <v>5</v>
      </c>
      <c r="K17" s="1" t="s">
        <v>6</v>
      </c>
      <c r="L17" s="1" t="s">
        <v>7</v>
      </c>
    </row>
    <row r="18" spans="1:13">
      <c r="A18" s="1">
        <v>2</v>
      </c>
      <c r="B18" s="5" t="s">
        <v>30</v>
      </c>
      <c r="C18" s="6" t="s">
        <v>31</v>
      </c>
      <c r="D18" s="6"/>
      <c r="E18" s="6"/>
      <c r="F18" s="6"/>
      <c r="G18" s="6" t="s">
        <v>32</v>
      </c>
      <c r="H18" s="12">
        <v>18.010000000000002</v>
      </c>
      <c r="I18" s="6">
        <v>18</v>
      </c>
      <c r="J18" s="6" t="s">
        <v>33</v>
      </c>
      <c r="K18" s="6" t="s">
        <v>12</v>
      </c>
      <c r="L18" s="6">
        <v>26</v>
      </c>
      <c r="M18" s="29"/>
    </row>
    <row r="19" spans="1:13">
      <c r="B19" s="7"/>
      <c r="C19" s="8"/>
      <c r="D19" s="8"/>
      <c r="E19" s="8"/>
      <c r="F19" s="8"/>
      <c r="G19" s="8"/>
      <c r="H19" s="9"/>
      <c r="I19" s="8"/>
      <c r="J19" s="8"/>
      <c r="K19" s="8"/>
      <c r="L19" s="8"/>
      <c r="M19" s="27"/>
    </row>
    <row r="20" spans="1:13">
      <c r="A20" s="1">
        <v>3</v>
      </c>
      <c r="B20" s="7" t="s">
        <v>34</v>
      </c>
      <c r="C20" s="8" t="s">
        <v>35</v>
      </c>
      <c r="D20" s="8"/>
      <c r="E20" s="8"/>
      <c r="F20" s="8"/>
      <c r="G20" s="8" t="s">
        <v>10</v>
      </c>
      <c r="H20" s="9">
        <v>18.010000000000002</v>
      </c>
      <c r="I20" s="8">
        <v>19</v>
      </c>
      <c r="J20" s="8" t="s">
        <v>17</v>
      </c>
      <c r="K20" s="8" t="s">
        <v>12</v>
      </c>
      <c r="L20" s="8">
        <v>26</v>
      </c>
      <c r="M20" s="27"/>
    </row>
    <row r="21" spans="1:13">
      <c r="B21" s="7"/>
      <c r="C21" s="8"/>
      <c r="D21" s="8"/>
      <c r="E21" s="8"/>
      <c r="F21" s="8"/>
      <c r="G21" s="8"/>
      <c r="H21" s="9"/>
      <c r="I21" s="8"/>
      <c r="J21" s="8"/>
      <c r="K21" s="8"/>
      <c r="L21" s="8"/>
      <c r="M21" s="27"/>
    </row>
    <row r="22" spans="1:13">
      <c r="A22" s="1">
        <v>5</v>
      </c>
      <c r="B22" s="7" t="s">
        <v>36</v>
      </c>
      <c r="C22" s="8" t="s">
        <v>37</v>
      </c>
      <c r="D22" s="8"/>
      <c r="E22" s="8"/>
      <c r="F22" s="8"/>
      <c r="G22" s="50" t="s">
        <v>10</v>
      </c>
      <c r="H22" s="9">
        <v>18</v>
      </c>
      <c r="I22" s="8">
        <v>10</v>
      </c>
      <c r="J22" s="13" t="s">
        <v>11</v>
      </c>
      <c r="K22" s="13" t="s">
        <v>12</v>
      </c>
      <c r="L22" s="8">
        <v>26</v>
      </c>
      <c r="M22" s="27"/>
    </row>
    <row r="23" spans="1:13">
      <c r="B23" s="7"/>
      <c r="C23" s="8"/>
      <c r="D23" s="8"/>
      <c r="E23" s="8"/>
      <c r="F23" s="8"/>
      <c r="G23" s="8"/>
      <c r="H23" s="9"/>
      <c r="I23" s="8"/>
      <c r="J23" s="8"/>
      <c r="K23" s="8"/>
      <c r="L23" s="8"/>
      <c r="M23" s="27"/>
    </row>
    <row r="24" spans="1:13">
      <c r="A24" s="1">
        <v>7</v>
      </c>
      <c r="B24" s="7" t="s">
        <v>38</v>
      </c>
      <c r="C24" s="8" t="s">
        <v>39</v>
      </c>
      <c r="D24" s="8"/>
      <c r="E24" s="8"/>
      <c r="F24" s="8"/>
      <c r="G24" s="8" t="s">
        <v>10</v>
      </c>
      <c r="H24" s="9">
        <v>18.190000000000001</v>
      </c>
      <c r="I24" s="8">
        <v>12</v>
      </c>
      <c r="J24" s="8" t="s">
        <v>17</v>
      </c>
      <c r="K24" s="8" t="s">
        <v>12</v>
      </c>
      <c r="L24" s="8">
        <v>26</v>
      </c>
      <c r="M24" s="27"/>
    </row>
    <row r="25" spans="1:13">
      <c r="B25" s="7"/>
      <c r="C25" s="8"/>
      <c r="D25" s="8"/>
      <c r="E25" s="8"/>
      <c r="F25" s="8"/>
      <c r="G25" s="8"/>
      <c r="H25" s="9"/>
      <c r="I25" s="8"/>
      <c r="J25" s="8"/>
      <c r="K25" s="8"/>
      <c r="L25" s="8"/>
      <c r="M25" s="27"/>
    </row>
    <row r="26" spans="1:13">
      <c r="B26" s="7" t="s">
        <v>40</v>
      </c>
      <c r="C26" s="8" t="s">
        <v>41</v>
      </c>
      <c r="D26" s="8"/>
      <c r="E26" s="8"/>
      <c r="F26" s="8"/>
      <c r="G26" s="8"/>
      <c r="H26" s="9"/>
      <c r="I26" s="8"/>
      <c r="J26" s="8"/>
      <c r="K26" s="8"/>
      <c r="L26" s="8"/>
      <c r="M26" s="27"/>
    </row>
    <row r="27" spans="1:13">
      <c r="B27" s="7"/>
      <c r="C27" s="8"/>
      <c r="D27" s="8"/>
      <c r="E27" s="8"/>
      <c r="F27" s="8"/>
      <c r="G27" s="8"/>
      <c r="H27" s="9"/>
      <c r="I27" s="8"/>
      <c r="J27" s="8"/>
      <c r="K27" s="8"/>
      <c r="L27" s="8"/>
      <c r="M27" s="27"/>
    </row>
    <row r="28" spans="1:13">
      <c r="A28" s="1">
        <v>4</v>
      </c>
      <c r="B28" s="7" t="s">
        <v>42</v>
      </c>
      <c r="C28" s="8" t="s">
        <v>43</v>
      </c>
      <c r="D28" s="8"/>
      <c r="E28" s="8"/>
      <c r="F28" s="8"/>
      <c r="G28" s="8" t="s">
        <v>10</v>
      </c>
      <c r="H28" s="9">
        <v>18.059999999999999</v>
      </c>
      <c r="I28" s="8">
        <v>7</v>
      </c>
      <c r="J28" s="8" t="s">
        <v>44</v>
      </c>
      <c r="K28" s="8" t="s">
        <v>12</v>
      </c>
      <c r="L28" s="8">
        <v>26</v>
      </c>
      <c r="M28" s="27"/>
    </row>
    <row r="29" spans="1:13">
      <c r="B29" s="7"/>
      <c r="C29" s="8"/>
      <c r="D29" s="8"/>
      <c r="E29" s="8"/>
      <c r="F29" s="8"/>
      <c r="G29" s="8"/>
      <c r="H29" s="9"/>
      <c r="I29" s="8"/>
      <c r="J29" s="8"/>
      <c r="K29" s="8"/>
      <c r="L29" s="8"/>
      <c r="M29" s="27"/>
    </row>
    <row r="30" spans="1:13">
      <c r="A30" s="1">
        <v>6</v>
      </c>
      <c r="B30" s="7" t="s">
        <v>45</v>
      </c>
      <c r="C30" s="8" t="s">
        <v>46</v>
      </c>
      <c r="D30" s="8"/>
      <c r="E30" s="8"/>
      <c r="F30" s="8"/>
      <c r="G30" s="8" t="s">
        <v>16</v>
      </c>
      <c r="H30" s="9">
        <v>20</v>
      </c>
      <c r="I30" s="8">
        <v>1</v>
      </c>
      <c r="J30" s="8" t="s">
        <v>26</v>
      </c>
      <c r="K30" s="8" t="s">
        <v>12</v>
      </c>
      <c r="L30" s="8">
        <v>26</v>
      </c>
      <c r="M30" s="27"/>
    </row>
    <row r="31" spans="1:13">
      <c r="B31" s="7"/>
      <c r="C31" s="8"/>
      <c r="D31" s="8"/>
      <c r="E31" s="8"/>
      <c r="F31" s="8"/>
      <c r="G31" s="8"/>
      <c r="H31" s="9"/>
      <c r="I31" s="8"/>
      <c r="J31" s="8"/>
      <c r="K31" s="8"/>
      <c r="L31" s="8"/>
      <c r="M31" s="27"/>
    </row>
    <row r="32" spans="1:13">
      <c r="A32" s="1">
        <v>1</v>
      </c>
      <c r="B32" s="7" t="s">
        <v>47</v>
      </c>
      <c r="C32" s="8" t="s">
        <v>48</v>
      </c>
      <c r="D32" s="8"/>
      <c r="E32" s="8"/>
      <c r="F32" s="8"/>
      <c r="G32" s="8" t="s">
        <v>10</v>
      </c>
      <c r="H32" s="9">
        <v>18</v>
      </c>
      <c r="I32" s="8">
        <v>2</v>
      </c>
      <c r="J32" s="8" t="s">
        <v>17</v>
      </c>
      <c r="K32" s="13" t="s">
        <v>12</v>
      </c>
      <c r="L32" s="8">
        <v>27</v>
      </c>
      <c r="M32" s="27"/>
    </row>
    <row r="33" spans="1:13" ht="15.75" thickBot="1">
      <c r="B33" s="11"/>
      <c r="C33" s="3"/>
      <c r="D33" s="3"/>
      <c r="E33" s="3"/>
      <c r="F33" s="3"/>
      <c r="G33" s="3"/>
      <c r="H33" s="4"/>
      <c r="I33" s="3"/>
      <c r="J33" s="3"/>
      <c r="K33" s="3"/>
      <c r="L33" s="3"/>
      <c r="M33" s="28"/>
    </row>
    <row r="35" spans="1:13" ht="15.75" thickBot="1"/>
    <row r="36" spans="1:13">
      <c r="A36" s="1" t="s">
        <v>49</v>
      </c>
      <c r="B36" s="5" t="s">
        <v>50</v>
      </c>
      <c r="C36" s="6" t="s">
        <v>51</v>
      </c>
      <c r="D36" s="6"/>
      <c r="E36" s="6"/>
      <c r="F36" s="6">
        <v>24</v>
      </c>
      <c r="G36" s="6" t="s">
        <v>10</v>
      </c>
      <c r="H36" s="12">
        <v>18.07</v>
      </c>
      <c r="I36" s="6">
        <v>24</v>
      </c>
      <c r="J36" s="6" t="s">
        <v>17</v>
      </c>
      <c r="K36" s="6" t="s">
        <v>12</v>
      </c>
      <c r="L36" s="6">
        <v>26</v>
      </c>
      <c r="M36" s="29">
        <v>6</v>
      </c>
    </row>
    <row r="37" spans="1:13">
      <c r="B37" s="7"/>
      <c r="C37" s="8"/>
      <c r="D37" s="8"/>
      <c r="E37" s="8"/>
      <c r="F37" s="8"/>
      <c r="G37" s="8"/>
      <c r="H37" s="9"/>
      <c r="I37" s="8"/>
      <c r="J37" s="8"/>
      <c r="K37" s="8"/>
      <c r="L37" s="8"/>
      <c r="M37" s="27"/>
    </row>
    <row r="38" spans="1:13">
      <c r="A38" s="1" t="s">
        <v>49</v>
      </c>
      <c r="B38" s="7" t="s">
        <v>52</v>
      </c>
      <c r="C38" s="8" t="s">
        <v>53</v>
      </c>
      <c r="D38" s="8"/>
      <c r="E38" s="8"/>
      <c r="F38" s="8">
        <v>6</v>
      </c>
      <c r="G38" s="8" t="s">
        <v>54</v>
      </c>
      <c r="H38" s="9">
        <v>18.100000000000001</v>
      </c>
      <c r="I38" s="8">
        <v>6</v>
      </c>
      <c r="J38" s="8" t="s">
        <v>33</v>
      </c>
      <c r="K38" s="8" t="s">
        <v>12</v>
      </c>
      <c r="L38" s="8">
        <v>26</v>
      </c>
      <c r="M38" s="27"/>
    </row>
    <row r="39" spans="1:13">
      <c r="B39" s="7"/>
      <c r="C39" s="8"/>
      <c r="D39" s="8"/>
      <c r="E39" s="8"/>
      <c r="F39" s="8"/>
      <c r="G39" s="8"/>
      <c r="H39" s="9"/>
      <c r="I39" s="8"/>
      <c r="J39" s="8"/>
      <c r="K39" s="8"/>
      <c r="L39" s="8"/>
      <c r="M39" s="27"/>
    </row>
    <row r="40" spans="1:13">
      <c r="A40" s="1" t="s">
        <v>49</v>
      </c>
      <c r="B40" s="10" t="s">
        <v>55</v>
      </c>
      <c r="C40" s="8" t="s">
        <v>56</v>
      </c>
      <c r="D40" s="8"/>
      <c r="E40" s="8"/>
      <c r="F40" s="8">
        <v>20</v>
      </c>
      <c r="G40" s="8" t="s">
        <v>10</v>
      </c>
      <c r="H40" s="9">
        <v>18.03</v>
      </c>
      <c r="I40" s="8">
        <v>20</v>
      </c>
      <c r="J40" s="8" t="s">
        <v>11</v>
      </c>
      <c r="K40" s="8" t="s">
        <v>12</v>
      </c>
      <c r="L40" s="8">
        <v>26</v>
      </c>
      <c r="M40" s="27">
        <v>8</v>
      </c>
    </row>
    <row r="41" spans="1:13">
      <c r="B41" s="7"/>
      <c r="C41" s="8"/>
      <c r="D41" s="8"/>
      <c r="E41" s="8"/>
      <c r="F41" s="8"/>
      <c r="G41" s="8"/>
      <c r="H41" s="9"/>
      <c r="I41" s="8"/>
      <c r="J41" s="8"/>
      <c r="K41" s="8"/>
      <c r="L41" s="8"/>
      <c r="M41" s="27"/>
    </row>
    <row r="42" spans="1:13">
      <c r="A42" s="1" t="s">
        <v>49</v>
      </c>
      <c r="B42" s="7" t="s">
        <v>57</v>
      </c>
      <c r="C42" s="8" t="s">
        <v>58</v>
      </c>
      <c r="D42" s="8"/>
      <c r="E42" s="8"/>
      <c r="F42" s="8">
        <v>22</v>
      </c>
      <c r="G42" s="8" t="s">
        <v>54</v>
      </c>
      <c r="H42" s="9">
        <v>18</v>
      </c>
      <c r="I42" s="8">
        <v>22</v>
      </c>
      <c r="J42" s="8" t="s">
        <v>33</v>
      </c>
      <c r="K42" s="8" t="s">
        <v>12</v>
      </c>
      <c r="L42" s="8">
        <v>26</v>
      </c>
      <c r="M42" s="27"/>
    </row>
    <row r="43" spans="1:13">
      <c r="B43" s="7"/>
      <c r="C43" s="8"/>
      <c r="D43" s="8"/>
      <c r="E43" s="8"/>
      <c r="F43" s="8"/>
      <c r="G43" s="8"/>
      <c r="H43" s="9"/>
      <c r="I43" s="8"/>
      <c r="J43" s="8"/>
      <c r="K43" s="8"/>
      <c r="L43" s="8"/>
      <c r="M43" s="27"/>
    </row>
    <row r="44" spans="1:13">
      <c r="A44" s="1" t="s">
        <v>49</v>
      </c>
      <c r="B44" s="7" t="s">
        <v>59</v>
      </c>
      <c r="C44" s="8" t="s">
        <v>60</v>
      </c>
      <c r="D44" s="8"/>
      <c r="E44" s="8"/>
      <c r="F44" s="8">
        <v>15</v>
      </c>
      <c r="G44" s="8" t="s">
        <v>29</v>
      </c>
      <c r="H44" s="9">
        <v>18.02</v>
      </c>
      <c r="I44" s="8">
        <v>15</v>
      </c>
      <c r="J44" s="8" t="s">
        <v>11</v>
      </c>
      <c r="K44" s="8" t="s">
        <v>12</v>
      </c>
      <c r="L44" s="8">
        <v>26</v>
      </c>
      <c r="M44" s="27"/>
    </row>
    <row r="45" spans="1:13">
      <c r="B45" s="7"/>
      <c r="C45" s="8"/>
      <c r="D45" s="8"/>
      <c r="E45" s="8"/>
      <c r="F45" s="8"/>
      <c r="G45" s="8"/>
      <c r="H45" s="9"/>
      <c r="I45" s="8"/>
      <c r="J45" s="8"/>
      <c r="K45" s="8"/>
      <c r="L45" s="8"/>
      <c r="M45" s="27"/>
    </row>
    <row r="46" spans="1:13">
      <c r="A46" s="1" t="s">
        <v>49</v>
      </c>
      <c r="B46" s="7" t="s">
        <v>61</v>
      </c>
      <c r="C46" s="8" t="s">
        <v>62</v>
      </c>
      <c r="D46" s="8"/>
      <c r="E46" s="8"/>
      <c r="F46" s="8">
        <v>16</v>
      </c>
      <c r="G46" s="8" t="s">
        <v>63</v>
      </c>
      <c r="H46" s="9">
        <v>19.350000000000001</v>
      </c>
      <c r="I46" s="8">
        <v>16</v>
      </c>
      <c r="J46" s="8" t="s">
        <v>17</v>
      </c>
      <c r="K46" s="8" t="s">
        <v>12</v>
      </c>
      <c r="L46" s="8">
        <v>26</v>
      </c>
      <c r="M46" s="27"/>
    </row>
    <row r="47" spans="1:13">
      <c r="B47" s="7"/>
      <c r="C47" s="8"/>
      <c r="D47" s="8"/>
      <c r="E47" s="8"/>
      <c r="F47" s="8"/>
      <c r="G47" s="8"/>
      <c r="H47" s="9"/>
      <c r="I47" s="8"/>
      <c r="J47" s="8"/>
      <c r="K47" s="8"/>
      <c r="L47" s="8"/>
      <c r="M47" s="27"/>
    </row>
    <row r="48" spans="1:13">
      <c r="A48" s="1" t="s">
        <v>49</v>
      </c>
      <c r="B48" s="7" t="s">
        <v>64</v>
      </c>
      <c r="C48" s="8" t="s">
        <v>65</v>
      </c>
      <c r="D48" s="8"/>
      <c r="E48" s="8"/>
      <c r="F48" s="8">
        <v>11</v>
      </c>
      <c r="G48" s="8" t="s">
        <v>29</v>
      </c>
      <c r="H48" s="9">
        <v>18.37</v>
      </c>
      <c r="I48" s="8">
        <v>23</v>
      </c>
      <c r="J48" s="8" t="s">
        <v>17</v>
      </c>
      <c r="K48" s="8" t="s">
        <v>12</v>
      </c>
      <c r="L48" s="8">
        <v>26</v>
      </c>
      <c r="M48" s="27">
        <v>7</v>
      </c>
    </row>
    <row r="49" spans="1:15">
      <c r="B49" s="7"/>
      <c r="C49" s="8"/>
      <c r="D49" s="8"/>
      <c r="E49" s="8"/>
      <c r="F49" s="8"/>
      <c r="G49" s="8"/>
      <c r="H49" s="9"/>
      <c r="I49" s="8"/>
      <c r="J49" s="8"/>
      <c r="K49" s="8"/>
      <c r="L49" s="8"/>
      <c r="M49" s="27"/>
    </row>
    <row r="50" spans="1:15">
      <c r="A50" s="1" t="s">
        <v>49</v>
      </c>
      <c r="B50" s="7" t="s">
        <v>66</v>
      </c>
      <c r="C50" s="8" t="s">
        <v>67</v>
      </c>
      <c r="D50" s="8"/>
      <c r="E50" s="8"/>
      <c r="F50" s="8">
        <v>23</v>
      </c>
      <c r="G50" s="8" t="s">
        <v>54</v>
      </c>
      <c r="H50" s="9">
        <v>22.1</v>
      </c>
      <c r="I50" s="8">
        <v>23</v>
      </c>
      <c r="J50" s="8" t="s">
        <v>11</v>
      </c>
      <c r="K50" s="8" t="s">
        <v>18</v>
      </c>
      <c r="L50" s="8">
        <v>26</v>
      </c>
      <c r="M50" s="27">
        <v>3</v>
      </c>
    </row>
    <row r="51" spans="1:15" ht="15.75" thickBot="1">
      <c r="B51" s="11"/>
      <c r="C51" s="3"/>
      <c r="D51" s="3"/>
      <c r="E51" s="3"/>
      <c r="F51" s="3"/>
      <c r="G51" s="3"/>
      <c r="H51" s="4"/>
      <c r="I51" s="3"/>
      <c r="J51" s="3"/>
      <c r="K51" s="3"/>
      <c r="L51" s="3"/>
      <c r="M51" s="28"/>
    </row>
    <row r="55" spans="1:15">
      <c r="F55" s="14" t="s">
        <v>68</v>
      </c>
      <c r="G55" s="14" t="s">
        <v>2</v>
      </c>
      <c r="H55" s="14" t="s">
        <v>3</v>
      </c>
      <c r="I55" s="14" t="s">
        <v>4</v>
      </c>
      <c r="J55" s="14" t="s">
        <v>5</v>
      </c>
      <c r="K55" s="14" t="s">
        <v>6</v>
      </c>
      <c r="L55" s="14" t="s">
        <v>7</v>
      </c>
      <c r="M55" s="14" t="s">
        <v>69</v>
      </c>
      <c r="O55" s="1" t="s">
        <v>70</v>
      </c>
    </row>
    <row r="56" spans="1:15">
      <c r="A56" s="15"/>
      <c r="B56" s="16" t="s">
        <v>71</v>
      </c>
      <c r="C56" s="17"/>
      <c r="D56" s="17"/>
      <c r="E56" s="18"/>
      <c r="F56" s="19"/>
    </row>
    <row r="57" spans="1:15">
      <c r="A57" s="15"/>
      <c r="B57" s="16" t="s">
        <v>72</v>
      </c>
      <c r="C57" s="17"/>
      <c r="D57" s="17"/>
      <c r="E57" s="18"/>
      <c r="F57" s="19"/>
      <c r="G57" s="2"/>
      <c r="I57" s="2"/>
      <c r="K57" s="2"/>
      <c r="L57" s="2"/>
    </row>
    <row r="58" spans="1:15">
      <c r="A58" s="15">
        <v>1</v>
      </c>
      <c r="B58" s="20" t="s">
        <v>73</v>
      </c>
      <c r="C58" s="16" t="s">
        <v>74</v>
      </c>
      <c r="D58" s="17"/>
      <c r="E58" s="17"/>
      <c r="F58" s="21">
        <v>1</v>
      </c>
      <c r="G58" s="21" t="s">
        <v>10</v>
      </c>
      <c r="H58" s="21">
        <v>18.02</v>
      </c>
      <c r="I58" s="21">
        <v>7</v>
      </c>
      <c r="J58" s="21" t="s">
        <v>33</v>
      </c>
      <c r="K58" s="21" t="s">
        <v>12</v>
      </c>
      <c r="L58" s="21">
        <v>26</v>
      </c>
      <c r="M58" s="30">
        <v>118</v>
      </c>
      <c r="N58" s="2">
        <f t="shared" ref="N58:N63" si="0">M58/2</f>
        <v>59</v>
      </c>
      <c r="O58" s="1">
        <v>25</v>
      </c>
    </row>
    <row r="59" spans="1:15">
      <c r="A59" s="15">
        <v>2</v>
      </c>
      <c r="B59" s="22" t="s">
        <v>75</v>
      </c>
      <c r="C59" s="22" t="s">
        <v>76</v>
      </c>
      <c r="D59" s="17"/>
      <c r="E59" s="17"/>
      <c r="F59" s="21">
        <v>4</v>
      </c>
      <c r="G59" s="51" t="s">
        <v>10</v>
      </c>
      <c r="H59" s="21">
        <v>18.12</v>
      </c>
      <c r="I59" s="21">
        <v>6</v>
      </c>
      <c r="J59" s="21" t="s">
        <v>17</v>
      </c>
      <c r="K59" s="21" t="s">
        <v>12</v>
      </c>
      <c r="L59" s="21">
        <v>26</v>
      </c>
      <c r="M59" s="30">
        <f>55+55</f>
        <v>110</v>
      </c>
      <c r="N59" s="2">
        <f t="shared" si="0"/>
        <v>55</v>
      </c>
      <c r="O59" s="1">
        <v>25</v>
      </c>
    </row>
    <row r="60" spans="1:15">
      <c r="A60" s="23">
        <v>3</v>
      </c>
      <c r="B60" s="22" t="s">
        <v>77</v>
      </c>
      <c r="C60" s="22" t="s">
        <v>78</v>
      </c>
      <c r="D60" s="17"/>
      <c r="E60" s="17"/>
      <c r="F60" s="21">
        <v>5</v>
      </c>
      <c r="G60" s="21" t="s">
        <v>16</v>
      </c>
      <c r="H60" s="21">
        <v>18.05</v>
      </c>
      <c r="I60" s="21">
        <v>24</v>
      </c>
      <c r="J60" s="21" t="s">
        <v>26</v>
      </c>
      <c r="K60" s="21" t="s">
        <v>12</v>
      </c>
      <c r="L60" s="21">
        <v>26</v>
      </c>
      <c r="M60" s="30">
        <v>84</v>
      </c>
      <c r="N60" s="2">
        <f t="shared" si="0"/>
        <v>42</v>
      </c>
      <c r="O60" s="1">
        <v>25</v>
      </c>
    </row>
    <row r="61" spans="1:15">
      <c r="A61" s="24">
        <v>4</v>
      </c>
      <c r="B61" s="22" t="s">
        <v>79</v>
      </c>
      <c r="C61" s="22" t="s">
        <v>80</v>
      </c>
      <c r="D61" s="17"/>
      <c r="E61" s="17"/>
      <c r="F61" s="21" t="s">
        <v>81</v>
      </c>
      <c r="G61" s="21" t="s">
        <v>10</v>
      </c>
      <c r="H61" s="21">
        <v>18.14</v>
      </c>
      <c r="I61" s="21">
        <v>2</v>
      </c>
      <c r="J61" s="2" t="s">
        <v>11</v>
      </c>
      <c r="K61" s="21" t="s">
        <v>12</v>
      </c>
      <c r="L61" s="21">
        <v>27</v>
      </c>
      <c r="M61" s="30">
        <v>78</v>
      </c>
      <c r="N61" s="2">
        <f t="shared" si="0"/>
        <v>39</v>
      </c>
      <c r="O61" s="1">
        <v>25</v>
      </c>
    </row>
    <row r="62" spans="1:15">
      <c r="A62" s="24">
        <v>5</v>
      </c>
      <c r="B62" s="22" t="s">
        <v>82</v>
      </c>
      <c r="C62" s="22" t="s">
        <v>83</v>
      </c>
      <c r="D62" s="17"/>
      <c r="E62" s="17"/>
      <c r="F62" s="21">
        <v>2</v>
      </c>
      <c r="G62" s="21" t="s">
        <v>29</v>
      </c>
      <c r="H62" s="21">
        <v>18.36</v>
      </c>
      <c r="I62" s="21">
        <v>15</v>
      </c>
      <c r="J62" s="2" t="s">
        <v>17</v>
      </c>
      <c r="K62" s="21" t="s">
        <v>12</v>
      </c>
      <c r="L62" s="21">
        <v>27</v>
      </c>
      <c r="M62" s="30">
        <v>72</v>
      </c>
      <c r="N62" s="2">
        <f t="shared" si="0"/>
        <v>36</v>
      </c>
      <c r="O62" s="1">
        <v>25</v>
      </c>
    </row>
    <row r="63" spans="1:15">
      <c r="A63" s="24">
        <v>6</v>
      </c>
      <c r="B63" s="20" t="s">
        <v>84</v>
      </c>
      <c r="C63" s="20" t="s">
        <v>85</v>
      </c>
      <c r="D63" s="17"/>
      <c r="E63" s="17"/>
      <c r="F63" s="21">
        <v>6</v>
      </c>
      <c r="G63" s="21" t="s">
        <v>10</v>
      </c>
      <c r="H63" s="21">
        <v>18.010000000000002</v>
      </c>
      <c r="I63" s="21">
        <v>18</v>
      </c>
      <c r="J63" s="2" t="s">
        <v>33</v>
      </c>
      <c r="K63" s="21" t="s">
        <v>86</v>
      </c>
      <c r="L63" s="21">
        <v>26</v>
      </c>
      <c r="M63" s="30">
        <v>52</v>
      </c>
      <c r="N63" s="2">
        <f t="shared" si="0"/>
        <v>26</v>
      </c>
      <c r="O63" s="1">
        <v>25</v>
      </c>
    </row>
    <row r="64" spans="1:15">
      <c r="A64" s="24">
        <v>7</v>
      </c>
      <c r="B64" s="25" t="s">
        <v>87</v>
      </c>
      <c r="C64" s="26" t="s">
        <v>88</v>
      </c>
      <c r="D64" s="17"/>
      <c r="E64" s="17"/>
      <c r="F64" s="21" t="s">
        <v>89</v>
      </c>
      <c r="G64" s="21" t="s">
        <v>10</v>
      </c>
      <c r="H64" s="21">
        <v>18.010000000000002</v>
      </c>
      <c r="I64" s="21">
        <v>12</v>
      </c>
      <c r="J64" s="2" t="s">
        <v>17</v>
      </c>
      <c r="K64" s="21" t="s">
        <v>86</v>
      </c>
      <c r="L64" s="21">
        <v>27</v>
      </c>
      <c r="M64" s="30">
        <v>0</v>
      </c>
      <c r="N64" s="2">
        <v>0</v>
      </c>
      <c r="O64" s="1">
        <v>25</v>
      </c>
    </row>
    <row r="65" spans="1:15">
      <c r="A65" s="24">
        <v>8</v>
      </c>
      <c r="B65" s="20" t="s">
        <v>90</v>
      </c>
      <c r="C65" s="16" t="s">
        <v>91</v>
      </c>
      <c r="D65" s="17"/>
      <c r="E65" s="17"/>
      <c r="F65" s="21">
        <v>3</v>
      </c>
      <c r="G65" s="21" t="s">
        <v>16</v>
      </c>
      <c r="H65" s="2">
        <v>18.53</v>
      </c>
      <c r="I65" s="21">
        <v>8</v>
      </c>
      <c r="J65" s="21" t="s">
        <v>26</v>
      </c>
      <c r="K65" s="21" t="s">
        <v>86</v>
      </c>
      <c r="L65" s="21">
        <v>26</v>
      </c>
      <c r="M65" s="30">
        <v>0</v>
      </c>
      <c r="N65" s="2">
        <f>M65/2</f>
        <v>0</v>
      </c>
      <c r="O65" s="1">
        <v>25</v>
      </c>
    </row>
    <row r="66" spans="1:15">
      <c r="A66" s="24">
        <v>9</v>
      </c>
      <c r="B66" s="16"/>
      <c r="C66" s="16"/>
      <c r="D66" s="17"/>
      <c r="E66" s="17"/>
      <c r="F66" s="17"/>
      <c r="G66" s="17"/>
      <c r="I66" s="17"/>
      <c r="J66" s="17"/>
      <c r="K66" s="17"/>
      <c r="L66" s="17"/>
      <c r="M66" s="30"/>
    </row>
    <row r="67" spans="1:15">
      <c r="A67" s="23">
        <v>10</v>
      </c>
      <c r="B67" s="17"/>
      <c r="C67" s="17"/>
      <c r="D67" s="17"/>
      <c r="E67" s="17"/>
      <c r="F67" s="17"/>
      <c r="G67" s="17"/>
      <c r="H67" s="21"/>
      <c r="I67" s="17"/>
      <c r="J67" s="17"/>
      <c r="K67" s="17"/>
      <c r="L67" s="17"/>
      <c r="M67" s="30"/>
    </row>
    <row r="68" spans="1:15">
      <c r="A68" s="23"/>
      <c r="B68" s="17"/>
      <c r="C68" s="17"/>
      <c r="D68" s="17"/>
      <c r="E68" s="17"/>
      <c r="F68" s="17"/>
      <c r="G68" s="17"/>
      <c r="H68" s="21"/>
      <c r="I68" s="17"/>
      <c r="J68" s="17"/>
      <c r="K68" s="17"/>
      <c r="L68" s="17"/>
      <c r="M68" s="30"/>
    </row>
    <row r="69" spans="1:15">
      <c r="A69" s="23"/>
      <c r="B69" s="19"/>
      <c r="C69" s="19"/>
      <c r="D69" s="17"/>
      <c r="E69" s="17"/>
      <c r="F69" s="14" t="s">
        <v>68</v>
      </c>
      <c r="G69" s="14" t="s">
        <v>2</v>
      </c>
      <c r="H69" s="14" t="s">
        <v>3</v>
      </c>
      <c r="I69" s="14" t="s">
        <v>4</v>
      </c>
      <c r="J69" s="14" t="s">
        <v>5</v>
      </c>
      <c r="K69" s="14" t="s">
        <v>6</v>
      </c>
      <c r="L69" s="14" t="s">
        <v>7</v>
      </c>
      <c r="M69" s="14" t="s">
        <v>69</v>
      </c>
    </row>
    <row r="70" spans="1:15">
      <c r="A70" s="23"/>
      <c r="B70" s="16" t="s">
        <v>92</v>
      </c>
      <c r="C70" s="16"/>
      <c r="D70" s="17"/>
      <c r="E70" s="17"/>
      <c r="F70" s="17"/>
      <c r="G70" s="17"/>
      <c r="H70" s="21"/>
      <c r="I70" s="17"/>
      <c r="J70" s="17"/>
      <c r="K70" s="17"/>
      <c r="L70" s="17"/>
      <c r="M70" s="30"/>
    </row>
    <row r="71" spans="1:15">
      <c r="A71" s="23"/>
      <c r="B71" s="31" t="s">
        <v>93</v>
      </c>
      <c r="C71" s="31"/>
      <c r="D71" s="17"/>
      <c r="E71" s="17"/>
      <c r="F71" s="17"/>
      <c r="G71" s="17"/>
      <c r="H71" s="21"/>
      <c r="I71" s="17"/>
      <c r="J71" s="17"/>
      <c r="K71" s="17"/>
      <c r="L71" s="17"/>
      <c r="M71" s="30"/>
    </row>
    <row r="72" spans="1:15">
      <c r="A72" s="23">
        <v>1</v>
      </c>
      <c r="B72" s="22" t="s">
        <v>94</v>
      </c>
      <c r="C72" s="22" t="s">
        <v>95</v>
      </c>
      <c r="D72" s="17"/>
      <c r="E72" s="17"/>
      <c r="F72" s="32">
        <v>2</v>
      </c>
      <c r="G72" s="51" t="s">
        <v>29</v>
      </c>
      <c r="H72" s="21">
        <v>18.079999999999998</v>
      </c>
      <c r="I72" s="21">
        <v>16</v>
      </c>
      <c r="J72" s="21" t="s">
        <v>17</v>
      </c>
      <c r="K72" s="21" t="s">
        <v>12</v>
      </c>
      <c r="L72" s="21">
        <v>26</v>
      </c>
      <c r="M72" s="30">
        <v>210</v>
      </c>
      <c r="N72" s="2">
        <f>M72/3</f>
        <v>70</v>
      </c>
      <c r="O72" s="2">
        <v>25</v>
      </c>
    </row>
    <row r="73" spans="1:15">
      <c r="A73" s="23">
        <v>2</v>
      </c>
      <c r="B73" s="22" t="s">
        <v>96</v>
      </c>
      <c r="C73" s="22" t="s">
        <v>97</v>
      </c>
      <c r="D73" s="17"/>
      <c r="E73" s="17"/>
      <c r="F73" s="32">
        <v>5</v>
      </c>
      <c r="G73" s="21" t="s">
        <v>54</v>
      </c>
      <c r="H73" s="21">
        <v>18.010000000000002</v>
      </c>
      <c r="I73" s="21">
        <v>13</v>
      </c>
      <c r="J73" s="21" t="s">
        <v>11</v>
      </c>
      <c r="K73" s="21" t="s">
        <v>12</v>
      </c>
      <c r="L73" s="21">
        <v>26</v>
      </c>
      <c r="M73" s="30">
        <v>96</v>
      </c>
      <c r="N73" s="2">
        <f t="shared" ref="N73:N77" si="1">M73/2</f>
        <v>48</v>
      </c>
      <c r="O73" s="2">
        <v>25</v>
      </c>
    </row>
    <row r="74" spans="1:15">
      <c r="A74" s="23">
        <v>3</v>
      </c>
      <c r="B74" s="22" t="s">
        <v>98</v>
      </c>
      <c r="C74" s="22" t="s">
        <v>99</v>
      </c>
      <c r="D74" s="17"/>
      <c r="E74" s="17"/>
      <c r="F74" s="32">
        <v>4</v>
      </c>
      <c r="G74" s="21" t="s">
        <v>16</v>
      </c>
      <c r="H74" s="21">
        <v>18.22</v>
      </c>
      <c r="I74" s="21">
        <v>14</v>
      </c>
      <c r="J74" s="21" t="s">
        <v>44</v>
      </c>
      <c r="K74" s="21" t="s">
        <v>12</v>
      </c>
      <c r="L74" s="21">
        <v>26</v>
      </c>
      <c r="M74" s="30">
        <v>88</v>
      </c>
      <c r="N74" s="2">
        <f t="shared" si="1"/>
        <v>44</v>
      </c>
      <c r="O74" s="2">
        <v>25</v>
      </c>
    </row>
    <row r="75" spans="1:15">
      <c r="A75" s="24">
        <v>4</v>
      </c>
      <c r="B75" s="22" t="s">
        <v>100</v>
      </c>
      <c r="C75" s="22" t="s">
        <v>101</v>
      </c>
      <c r="D75" s="17"/>
      <c r="E75" s="17"/>
      <c r="F75" s="32">
        <v>1</v>
      </c>
      <c r="G75" s="21" t="s">
        <v>16</v>
      </c>
      <c r="H75" s="21">
        <v>18.72</v>
      </c>
      <c r="I75" s="21">
        <v>3</v>
      </c>
      <c r="J75" s="21" t="s">
        <v>26</v>
      </c>
      <c r="K75" s="21" t="s">
        <v>12</v>
      </c>
      <c r="L75" s="21">
        <v>26</v>
      </c>
      <c r="M75" s="30">
        <v>76</v>
      </c>
      <c r="N75" s="2">
        <f t="shared" si="1"/>
        <v>38</v>
      </c>
      <c r="O75" s="2">
        <v>25</v>
      </c>
    </row>
    <row r="76" spans="1:15">
      <c r="A76" s="24">
        <v>5</v>
      </c>
      <c r="B76" s="22" t="s">
        <v>102</v>
      </c>
      <c r="C76" s="22" t="s">
        <v>103</v>
      </c>
      <c r="D76" s="17"/>
      <c r="E76" s="17"/>
      <c r="F76" s="32" t="s">
        <v>104</v>
      </c>
      <c r="G76" s="21" t="s">
        <v>105</v>
      </c>
      <c r="H76" s="21">
        <v>18.05</v>
      </c>
      <c r="I76" s="21">
        <v>19</v>
      </c>
      <c r="J76" s="21" t="s">
        <v>11</v>
      </c>
      <c r="K76" s="21" t="s">
        <v>12</v>
      </c>
      <c r="L76" s="21">
        <v>26</v>
      </c>
      <c r="M76" s="30">
        <v>70</v>
      </c>
      <c r="N76" s="2">
        <f t="shared" si="1"/>
        <v>35</v>
      </c>
      <c r="O76" s="2">
        <v>25</v>
      </c>
    </row>
    <row r="77" spans="1:15">
      <c r="A77" s="24">
        <v>6</v>
      </c>
      <c r="B77" s="22" t="s">
        <v>106</v>
      </c>
      <c r="C77" s="22" t="s">
        <v>107</v>
      </c>
      <c r="D77" s="17"/>
      <c r="E77" s="17"/>
      <c r="F77" s="32" t="s">
        <v>108</v>
      </c>
      <c r="G77" s="51" t="s">
        <v>105</v>
      </c>
      <c r="H77" s="21">
        <v>18.2</v>
      </c>
      <c r="I77" s="21">
        <v>4</v>
      </c>
      <c r="J77" s="21" t="s">
        <v>11</v>
      </c>
      <c r="K77" s="21" t="s">
        <v>86</v>
      </c>
      <c r="L77" s="21">
        <v>26</v>
      </c>
      <c r="M77" s="30">
        <v>46</v>
      </c>
      <c r="N77" s="2">
        <f t="shared" si="1"/>
        <v>23</v>
      </c>
      <c r="O77" s="2">
        <v>12.5</v>
      </c>
    </row>
    <row r="78" spans="1:15">
      <c r="A78" s="24">
        <v>7</v>
      </c>
      <c r="B78" s="22" t="s">
        <v>109</v>
      </c>
      <c r="C78" s="22" t="s">
        <v>110</v>
      </c>
      <c r="D78" s="17"/>
      <c r="E78" s="17"/>
      <c r="F78" s="32">
        <v>6</v>
      </c>
      <c r="G78" s="21" t="s">
        <v>16</v>
      </c>
      <c r="H78" s="21">
        <v>18.22</v>
      </c>
      <c r="I78" s="21">
        <v>23</v>
      </c>
      <c r="J78" s="21" t="s">
        <v>17</v>
      </c>
      <c r="K78" s="21" t="s">
        <v>12</v>
      </c>
      <c r="L78" s="21">
        <v>26</v>
      </c>
      <c r="M78" s="30">
        <v>0</v>
      </c>
      <c r="N78" s="2">
        <v>0</v>
      </c>
      <c r="O78" s="2">
        <v>25</v>
      </c>
    </row>
    <row r="79" spans="1:15">
      <c r="A79" s="24">
        <v>8</v>
      </c>
      <c r="B79" s="20" t="s">
        <v>111</v>
      </c>
      <c r="C79" s="20" t="s">
        <v>112</v>
      </c>
      <c r="D79" s="17"/>
      <c r="E79" s="17"/>
      <c r="F79" s="21" t="s">
        <v>113</v>
      </c>
      <c r="G79" s="21" t="s">
        <v>105</v>
      </c>
      <c r="H79" s="21">
        <v>18.03</v>
      </c>
      <c r="I79" s="21">
        <v>17</v>
      </c>
      <c r="J79" s="21" t="s">
        <v>17</v>
      </c>
      <c r="K79" s="21" t="s">
        <v>12</v>
      </c>
      <c r="L79" s="21">
        <v>26</v>
      </c>
      <c r="M79" s="30">
        <v>0</v>
      </c>
      <c r="N79" s="2">
        <v>0</v>
      </c>
      <c r="O79" s="2">
        <v>25</v>
      </c>
    </row>
    <row r="80" spans="1:15">
      <c r="A80" s="24">
        <v>9</v>
      </c>
      <c r="B80" s="20" t="s">
        <v>114</v>
      </c>
      <c r="C80" s="16" t="s">
        <v>115</v>
      </c>
      <c r="D80" s="17"/>
      <c r="E80" s="17"/>
      <c r="F80" s="21">
        <v>3</v>
      </c>
      <c r="G80" s="21" t="s">
        <v>54</v>
      </c>
      <c r="H80" s="21">
        <v>18.09</v>
      </c>
      <c r="I80" s="21">
        <v>21</v>
      </c>
      <c r="J80" s="21" t="s">
        <v>17</v>
      </c>
      <c r="K80" s="21" t="s">
        <v>86</v>
      </c>
      <c r="L80" s="21">
        <v>26</v>
      </c>
      <c r="M80" s="30"/>
      <c r="O80" s="2">
        <v>25</v>
      </c>
    </row>
    <row r="81" spans="1:24" ht="15.75" thickBot="1">
      <c r="A81" s="15"/>
      <c r="B81" s="17"/>
      <c r="C81" s="17"/>
      <c r="D81" s="17"/>
      <c r="E81" s="17"/>
      <c r="F81" s="17"/>
      <c r="G81" s="17"/>
      <c r="H81" s="21"/>
      <c r="I81" s="17"/>
      <c r="J81" s="17"/>
      <c r="K81" s="17"/>
      <c r="L81" s="17"/>
      <c r="M81" s="30"/>
      <c r="O81" s="2">
        <f ca="1">SUM(O57:O81)</f>
        <v>412.5</v>
      </c>
    </row>
    <row r="82" spans="1:24" ht="15.75" thickBot="1">
      <c r="A82" s="5"/>
      <c r="B82" s="62" t="s">
        <v>144</v>
      </c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4"/>
      <c r="R82" s="35"/>
    </row>
    <row r="83" spans="1:24">
      <c r="A83" s="7"/>
      <c r="B83" s="8"/>
      <c r="C83" s="8"/>
      <c r="D83" s="8"/>
      <c r="E83" s="8"/>
      <c r="F83" s="8"/>
      <c r="G83" s="8"/>
      <c r="H83" s="9"/>
      <c r="I83" s="8"/>
      <c r="J83" s="8"/>
      <c r="K83" s="8"/>
      <c r="L83" s="8"/>
      <c r="M83" s="9"/>
      <c r="N83" s="9"/>
      <c r="O83" s="8"/>
      <c r="P83" s="8"/>
      <c r="Q83" s="8"/>
      <c r="R83" s="36"/>
    </row>
    <row r="84" spans="1:24">
      <c r="A84" s="37"/>
      <c r="B84" s="31" t="s">
        <v>71</v>
      </c>
      <c r="C84" s="38"/>
      <c r="D84" s="39"/>
      <c r="E84" s="38"/>
      <c r="F84" s="14" t="s">
        <v>68</v>
      </c>
      <c r="G84" s="14" t="s">
        <v>2</v>
      </c>
      <c r="H84" s="14" t="s">
        <v>3</v>
      </c>
      <c r="I84" s="14" t="s">
        <v>4</v>
      </c>
      <c r="J84" s="14" t="s">
        <v>5</v>
      </c>
      <c r="K84" s="14" t="s">
        <v>6</v>
      </c>
      <c r="L84" s="14" t="s">
        <v>7</v>
      </c>
      <c r="M84" s="14" t="s">
        <v>69</v>
      </c>
      <c r="N84" s="9"/>
      <c r="O84" s="8"/>
      <c r="P84" s="8"/>
      <c r="Q84" s="8"/>
      <c r="R84" s="36"/>
    </row>
    <row r="85" spans="1:24">
      <c r="A85" s="37"/>
      <c r="B85" s="31" t="s">
        <v>72</v>
      </c>
      <c r="C85" s="38"/>
      <c r="D85" s="39"/>
      <c r="E85" s="38"/>
      <c r="F85" s="38"/>
      <c r="G85" s="38"/>
      <c r="H85" s="38"/>
      <c r="I85" s="9"/>
      <c r="J85" s="8"/>
      <c r="K85" s="8"/>
      <c r="L85" s="8"/>
      <c r="M85" s="9"/>
      <c r="N85" s="9"/>
      <c r="O85" s="8"/>
      <c r="P85" s="8"/>
      <c r="Q85" s="8"/>
      <c r="R85" s="36"/>
    </row>
    <row r="86" spans="1:24" s="33" customFormat="1" ht="15" customHeight="1">
      <c r="A86" s="40">
        <v>5</v>
      </c>
      <c r="B86" s="41" t="s">
        <v>118</v>
      </c>
      <c r="C86" s="60" t="s">
        <v>119</v>
      </c>
      <c r="D86" s="60"/>
      <c r="E86" s="60"/>
      <c r="F86" s="41">
        <v>3</v>
      </c>
      <c r="G86" s="41" t="s">
        <v>149</v>
      </c>
      <c r="H86" s="41">
        <v>18</v>
      </c>
      <c r="I86" s="41">
        <v>21</v>
      </c>
      <c r="J86" s="41" t="s">
        <v>33</v>
      </c>
      <c r="K86" s="41" t="s">
        <v>12</v>
      </c>
      <c r="L86" s="41">
        <v>26</v>
      </c>
      <c r="M86" s="42">
        <v>96</v>
      </c>
      <c r="N86" s="43"/>
      <c r="O86" s="42">
        <v>25</v>
      </c>
      <c r="P86" s="42">
        <v>25</v>
      </c>
      <c r="Q86" s="42">
        <v>10</v>
      </c>
      <c r="R86" s="54"/>
    </row>
    <row r="87" spans="1:24">
      <c r="A87" s="44">
        <v>17</v>
      </c>
      <c r="B87" s="31" t="s">
        <v>120</v>
      </c>
      <c r="C87" s="57" t="s">
        <v>145</v>
      </c>
      <c r="D87" s="57"/>
      <c r="E87" s="57"/>
      <c r="F87" s="52">
        <v>5</v>
      </c>
      <c r="G87" s="52" t="s">
        <v>10</v>
      </c>
      <c r="H87" s="52">
        <v>18.04</v>
      </c>
      <c r="I87" s="52">
        <v>19</v>
      </c>
      <c r="J87" s="52" t="s">
        <v>44</v>
      </c>
      <c r="K87" s="52" t="s">
        <v>12</v>
      </c>
      <c r="L87" s="52">
        <v>27</v>
      </c>
      <c r="M87" s="9">
        <f>(104+52)/2</f>
        <v>78</v>
      </c>
      <c r="N87" s="38"/>
      <c r="O87" s="9">
        <v>25</v>
      </c>
      <c r="P87" s="9">
        <v>25</v>
      </c>
      <c r="Q87" s="9">
        <v>10</v>
      </c>
      <c r="R87" s="55"/>
      <c r="W87" s="2"/>
      <c r="X87" s="2"/>
    </row>
    <row r="88" spans="1:24" ht="15" customHeight="1">
      <c r="A88" s="44">
        <v>9</v>
      </c>
      <c r="B88" s="41" t="s">
        <v>121</v>
      </c>
      <c r="C88" s="60" t="s">
        <v>122</v>
      </c>
      <c r="D88" s="60"/>
      <c r="E88" s="60"/>
      <c r="F88" s="41">
        <v>2</v>
      </c>
      <c r="G88" s="41" t="s">
        <v>10</v>
      </c>
      <c r="H88" s="41">
        <v>18.149999999999999</v>
      </c>
      <c r="I88" s="41">
        <v>12</v>
      </c>
      <c r="J88" s="41" t="s">
        <v>11</v>
      </c>
      <c r="K88" s="41" t="s">
        <v>12</v>
      </c>
      <c r="L88" s="41">
        <v>26</v>
      </c>
      <c r="M88" s="9">
        <v>77</v>
      </c>
      <c r="N88" s="38"/>
      <c r="O88" s="9">
        <v>25</v>
      </c>
      <c r="P88" s="9">
        <v>25</v>
      </c>
      <c r="Q88" s="9">
        <v>10</v>
      </c>
      <c r="R88" s="55"/>
      <c r="W88" s="2"/>
      <c r="X88" s="2"/>
    </row>
    <row r="89" spans="1:24">
      <c r="A89" s="44">
        <v>16</v>
      </c>
      <c r="B89" s="31" t="s">
        <v>148</v>
      </c>
      <c r="C89" s="57" t="s">
        <v>146</v>
      </c>
      <c r="D89" s="57"/>
      <c r="E89" s="57"/>
      <c r="F89" s="52">
        <v>1</v>
      </c>
      <c r="G89" s="31" t="s">
        <v>147</v>
      </c>
      <c r="H89" s="52">
        <v>18.600000000000001</v>
      </c>
      <c r="I89" s="52">
        <v>14</v>
      </c>
      <c r="J89" s="52" t="s">
        <v>11</v>
      </c>
      <c r="K89" s="52" t="s">
        <v>86</v>
      </c>
      <c r="L89" s="52">
        <v>26</v>
      </c>
      <c r="M89" s="9">
        <v>17</v>
      </c>
      <c r="N89" s="38"/>
      <c r="O89" s="9">
        <v>12.5</v>
      </c>
      <c r="P89" s="9">
        <v>12.5</v>
      </c>
      <c r="Q89" s="9">
        <v>5</v>
      </c>
      <c r="R89" s="55"/>
      <c r="W89" s="2"/>
      <c r="X89" s="2"/>
    </row>
    <row r="90" spans="1:24" ht="15" customHeight="1">
      <c r="A90" s="44">
        <v>11</v>
      </c>
      <c r="B90" s="46" t="s">
        <v>140</v>
      </c>
      <c r="C90" s="60" t="s">
        <v>150</v>
      </c>
      <c r="D90" s="60"/>
      <c r="E90" s="60"/>
      <c r="F90" s="9">
        <v>6</v>
      </c>
      <c r="G90" s="9" t="s">
        <v>10</v>
      </c>
      <c r="H90" s="9">
        <v>18.02</v>
      </c>
      <c r="I90" s="9">
        <v>11</v>
      </c>
      <c r="J90" s="9" t="s">
        <v>26</v>
      </c>
      <c r="K90" s="9" t="s">
        <v>12</v>
      </c>
      <c r="L90" s="9">
        <v>26</v>
      </c>
      <c r="M90" s="9"/>
      <c r="N90" s="38"/>
      <c r="O90" s="9">
        <v>25</v>
      </c>
      <c r="P90" s="9">
        <v>25</v>
      </c>
      <c r="Q90" s="9">
        <v>10</v>
      </c>
      <c r="R90" s="55"/>
      <c r="W90" s="2"/>
      <c r="X90" s="2"/>
    </row>
    <row r="91" spans="1:24">
      <c r="A91" s="37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9"/>
      <c r="N91" s="38"/>
      <c r="O91" s="39"/>
      <c r="P91" s="9"/>
      <c r="Q91" s="9"/>
      <c r="R91" s="55"/>
      <c r="W91" s="2"/>
      <c r="X91" s="2"/>
    </row>
    <row r="92" spans="1:24">
      <c r="A92" s="37"/>
      <c r="B92" s="31" t="s">
        <v>92</v>
      </c>
      <c r="C92" s="31"/>
      <c r="D92" s="31"/>
      <c r="E92" s="31"/>
      <c r="F92" s="14" t="s">
        <v>68</v>
      </c>
      <c r="G92" s="14" t="s">
        <v>2</v>
      </c>
      <c r="H92" s="14" t="s">
        <v>3</v>
      </c>
      <c r="I92" s="14" t="s">
        <v>4</v>
      </c>
      <c r="J92" s="14" t="s">
        <v>5</v>
      </c>
      <c r="K92" s="14" t="s">
        <v>6</v>
      </c>
      <c r="L92" s="14" t="s">
        <v>7</v>
      </c>
      <c r="M92" s="14" t="s">
        <v>69</v>
      </c>
      <c r="N92" s="38"/>
      <c r="O92" s="39"/>
      <c r="P92" s="9"/>
      <c r="Q92" s="9"/>
      <c r="R92" s="55"/>
      <c r="S92" s="1">
        <f>SUM(P86:P90)</f>
        <v>112.5</v>
      </c>
      <c r="W92" s="2"/>
      <c r="X92" s="2"/>
    </row>
    <row r="93" spans="1:24">
      <c r="A93" s="37"/>
      <c r="B93" s="31" t="s">
        <v>72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9"/>
      <c r="N93" s="38"/>
      <c r="O93" s="39"/>
      <c r="P93" s="9"/>
      <c r="Q93" s="9"/>
      <c r="R93" s="55"/>
      <c r="W93" s="2"/>
      <c r="X93" s="2"/>
    </row>
    <row r="94" spans="1:24" ht="15" customHeight="1">
      <c r="A94" s="44">
        <v>8</v>
      </c>
      <c r="B94" s="58" t="s">
        <v>36</v>
      </c>
      <c r="C94" s="65" t="s">
        <v>123</v>
      </c>
      <c r="D94" s="65"/>
      <c r="E94" s="65"/>
      <c r="F94" s="41">
        <v>5</v>
      </c>
      <c r="G94" s="41" t="s">
        <v>149</v>
      </c>
      <c r="H94" s="41">
        <v>18</v>
      </c>
      <c r="I94" s="41">
        <v>3</v>
      </c>
      <c r="J94" s="41" t="s">
        <v>33</v>
      </c>
      <c r="K94" s="41" t="s">
        <v>12</v>
      </c>
      <c r="L94" s="41">
        <v>26</v>
      </c>
      <c r="M94" s="9">
        <v>140</v>
      </c>
      <c r="N94" s="38"/>
      <c r="O94" s="9">
        <v>25</v>
      </c>
      <c r="P94" s="9">
        <v>25</v>
      </c>
      <c r="Q94" s="9">
        <v>10</v>
      </c>
      <c r="R94" s="55"/>
      <c r="W94" s="2"/>
      <c r="X94" s="2"/>
    </row>
    <row r="95" spans="1:24" s="34" customFormat="1" ht="15" customHeight="1">
      <c r="A95" s="40">
        <v>4</v>
      </c>
      <c r="B95" s="58" t="s">
        <v>124</v>
      </c>
      <c r="C95" s="61" t="s">
        <v>125</v>
      </c>
      <c r="D95" s="61"/>
      <c r="E95" s="61"/>
      <c r="F95" s="41">
        <v>3</v>
      </c>
      <c r="G95" s="41" t="s">
        <v>149</v>
      </c>
      <c r="H95" s="41">
        <v>18.04</v>
      </c>
      <c r="I95" s="41">
        <v>7</v>
      </c>
      <c r="J95" s="41" t="s">
        <v>11</v>
      </c>
      <c r="K95" s="41" t="s">
        <v>12</v>
      </c>
      <c r="L95" s="41">
        <v>26</v>
      </c>
      <c r="M95" s="42">
        <v>119</v>
      </c>
      <c r="N95" s="47"/>
      <c r="O95" s="42">
        <v>25</v>
      </c>
      <c r="P95" s="42">
        <v>25</v>
      </c>
      <c r="Q95" s="42">
        <v>10</v>
      </c>
      <c r="R95" s="56"/>
      <c r="W95" s="33"/>
      <c r="X95" s="33"/>
    </row>
    <row r="96" spans="1:24" s="34" customFormat="1" ht="15" customHeight="1">
      <c r="A96" s="40">
        <v>7</v>
      </c>
      <c r="B96" s="58" t="s">
        <v>126</v>
      </c>
      <c r="C96" s="61" t="s">
        <v>127</v>
      </c>
      <c r="D96" s="61"/>
      <c r="E96" s="61"/>
      <c r="F96" s="41">
        <v>6</v>
      </c>
      <c r="G96" s="41" t="s">
        <v>10</v>
      </c>
      <c r="H96" s="41">
        <v>18.05</v>
      </c>
      <c r="I96" s="41">
        <v>13</v>
      </c>
      <c r="J96" s="41" t="s">
        <v>33</v>
      </c>
      <c r="K96" s="41" t="s">
        <v>12</v>
      </c>
      <c r="L96" s="41">
        <v>26</v>
      </c>
      <c r="M96" s="42">
        <v>88</v>
      </c>
      <c r="N96" s="47"/>
      <c r="O96" s="42">
        <v>25</v>
      </c>
      <c r="P96" s="42">
        <v>25</v>
      </c>
      <c r="Q96" s="42">
        <v>10</v>
      </c>
      <c r="R96" s="56"/>
      <c r="W96" s="33"/>
      <c r="X96" s="33"/>
    </row>
    <row r="97" spans="1:24" s="34" customFormat="1" ht="15" customHeight="1">
      <c r="A97" s="40">
        <v>1</v>
      </c>
      <c r="B97" s="58" t="s">
        <v>128</v>
      </c>
      <c r="C97" s="61" t="s">
        <v>143</v>
      </c>
      <c r="D97" s="61"/>
      <c r="E97" s="61"/>
      <c r="F97" s="41">
        <v>1</v>
      </c>
      <c r="G97" s="41" t="s">
        <v>149</v>
      </c>
      <c r="H97" s="41">
        <v>18.05</v>
      </c>
      <c r="I97" s="41">
        <v>8</v>
      </c>
      <c r="J97" s="41" t="s">
        <v>11</v>
      </c>
      <c r="K97" s="41" t="s">
        <v>86</v>
      </c>
      <c r="L97" s="41">
        <v>26</v>
      </c>
      <c r="M97" s="42">
        <f>(105+59)/2</f>
        <v>82</v>
      </c>
      <c r="N97" s="47"/>
      <c r="O97" s="42">
        <v>12.5</v>
      </c>
      <c r="P97" s="42">
        <v>12.5</v>
      </c>
      <c r="Q97" s="42">
        <v>5</v>
      </c>
      <c r="R97" s="56"/>
      <c r="W97" s="33"/>
      <c r="X97" s="33"/>
    </row>
    <row r="98" spans="1:24" s="34" customFormat="1" ht="15" customHeight="1">
      <c r="A98" s="40">
        <v>6</v>
      </c>
      <c r="B98" s="58" t="s">
        <v>129</v>
      </c>
      <c r="C98" s="61" t="s">
        <v>130</v>
      </c>
      <c r="D98" s="61"/>
      <c r="E98" s="61"/>
      <c r="F98" s="41" t="s">
        <v>104</v>
      </c>
      <c r="G98" s="41" t="s">
        <v>149</v>
      </c>
      <c r="H98" s="41">
        <v>18.059999999999999</v>
      </c>
      <c r="I98" s="41">
        <v>22</v>
      </c>
      <c r="J98" s="41" t="s">
        <v>33</v>
      </c>
      <c r="K98" s="41" t="s">
        <v>12</v>
      </c>
      <c r="L98" s="41">
        <v>26</v>
      </c>
      <c r="M98" s="42">
        <v>78</v>
      </c>
      <c r="N98" s="47"/>
      <c r="O98" s="42">
        <v>25</v>
      </c>
      <c r="P98" s="42">
        <v>25</v>
      </c>
      <c r="Q98" s="42">
        <v>10</v>
      </c>
      <c r="R98" s="56"/>
      <c r="W98" s="33"/>
      <c r="X98" s="33"/>
    </row>
    <row r="99" spans="1:24" s="34" customFormat="1" ht="15" customHeight="1">
      <c r="A99" s="40">
        <v>14</v>
      </c>
      <c r="B99" s="58" t="s">
        <v>131</v>
      </c>
      <c r="C99" s="61" t="s">
        <v>132</v>
      </c>
      <c r="D99" s="61"/>
      <c r="E99" s="61"/>
      <c r="F99" s="41" t="s">
        <v>113</v>
      </c>
      <c r="G99" s="41" t="s">
        <v>63</v>
      </c>
      <c r="H99" s="41">
        <v>18.010000000000002</v>
      </c>
      <c r="I99" s="41">
        <v>5</v>
      </c>
      <c r="J99" s="41" t="s">
        <v>11</v>
      </c>
      <c r="K99" s="41" t="s">
        <v>86</v>
      </c>
      <c r="L99" s="41">
        <v>26</v>
      </c>
      <c r="M99" s="42">
        <f>(98+50)/2</f>
        <v>74</v>
      </c>
      <c r="N99" s="47"/>
      <c r="O99" s="42">
        <v>25</v>
      </c>
      <c r="P99" s="42">
        <v>25</v>
      </c>
      <c r="Q99" s="42">
        <v>10</v>
      </c>
      <c r="R99" s="56"/>
      <c r="W99" s="33"/>
      <c r="X99" s="33"/>
    </row>
    <row r="100" spans="1:24" s="34" customFormat="1" ht="15" customHeight="1">
      <c r="A100" s="40">
        <v>3</v>
      </c>
      <c r="B100" s="58" t="s">
        <v>133</v>
      </c>
      <c r="C100" s="61" t="s">
        <v>134</v>
      </c>
      <c r="D100" s="61"/>
      <c r="E100" s="61"/>
      <c r="F100" s="41">
        <v>4</v>
      </c>
      <c r="G100" s="41" t="s">
        <v>10</v>
      </c>
      <c r="H100" s="41">
        <v>18.07</v>
      </c>
      <c r="I100" s="41">
        <v>2</v>
      </c>
      <c r="J100" s="41" t="s">
        <v>11</v>
      </c>
      <c r="K100" s="41" t="s">
        <v>12</v>
      </c>
      <c r="L100" s="41">
        <v>26</v>
      </c>
      <c r="M100" s="42">
        <v>50</v>
      </c>
      <c r="N100" s="47"/>
      <c r="O100" s="42">
        <v>25</v>
      </c>
      <c r="P100" s="42">
        <v>25</v>
      </c>
      <c r="Q100" s="42">
        <v>10</v>
      </c>
      <c r="R100" s="56"/>
      <c r="W100" s="33"/>
      <c r="X100" s="33"/>
    </row>
    <row r="101" spans="1:24" s="34" customFormat="1" ht="15" customHeight="1">
      <c r="A101" s="40">
        <v>2</v>
      </c>
      <c r="B101" s="58" t="s">
        <v>135</v>
      </c>
      <c r="C101" s="61" t="s">
        <v>136</v>
      </c>
      <c r="D101" s="61"/>
      <c r="E101" s="61"/>
      <c r="F101" s="41">
        <v>2</v>
      </c>
      <c r="G101" s="41" t="s">
        <v>29</v>
      </c>
      <c r="H101" s="41">
        <v>18.04</v>
      </c>
      <c r="I101" s="41">
        <v>17</v>
      </c>
      <c r="J101" s="41" t="s">
        <v>11</v>
      </c>
      <c r="K101" s="41" t="s">
        <v>12</v>
      </c>
      <c r="L101" s="41">
        <v>26</v>
      </c>
      <c r="M101" s="42">
        <v>43</v>
      </c>
      <c r="N101" s="47"/>
      <c r="O101" s="42">
        <v>25</v>
      </c>
      <c r="P101" s="42">
        <v>25</v>
      </c>
      <c r="Q101" s="42">
        <v>10</v>
      </c>
      <c r="R101" s="56"/>
      <c r="W101" s="33"/>
      <c r="X101" s="33"/>
    </row>
    <row r="102" spans="1:24">
      <c r="A102" s="37"/>
      <c r="B102" s="38"/>
      <c r="C102" s="38"/>
      <c r="D102" s="38"/>
      <c r="E102" s="38"/>
      <c r="F102" s="38"/>
      <c r="G102" s="38"/>
      <c r="H102" s="38"/>
      <c r="I102" s="38"/>
      <c r="J102" s="48"/>
      <c r="K102" s="38"/>
      <c r="L102" s="38"/>
      <c r="M102" s="9"/>
      <c r="N102" s="38"/>
      <c r="O102" s="39"/>
      <c r="P102" s="9"/>
      <c r="Q102" s="9"/>
      <c r="R102" s="55"/>
      <c r="W102" s="2"/>
      <c r="X102" s="2"/>
    </row>
    <row r="103" spans="1:24">
      <c r="A103" s="37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48"/>
      <c r="N103" s="38"/>
      <c r="O103" s="39"/>
      <c r="P103" s="9"/>
      <c r="Q103" s="9"/>
      <c r="R103" s="55"/>
      <c r="S103" s="1">
        <f>SUM(P94:P101)</f>
        <v>187.5</v>
      </c>
      <c r="T103" s="1">
        <f>SUM(+S103+S92)</f>
        <v>300</v>
      </c>
      <c r="W103" s="2"/>
      <c r="X103" s="2"/>
    </row>
    <row r="104" spans="1:24">
      <c r="A104" s="37"/>
      <c r="B104" s="31" t="s">
        <v>116</v>
      </c>
      <c r="C104" s="31"/>
      <c r="D104" s="31"/>
      <c r="E104" s="31"/>
      <c r="F104" s="14" t="s">
        <v>68</v>
      </c>
      <c r="G104" s="14" t="s">
        <v>2</v>
      </c>
      <c r="H104" s="14" t="s">
        <v>3</v>
      </c>
      <c r="I104" s="14" t="s">
        <v>4</v>
      </c>
      <c r="J104" s="14" t="s">
        <v>5</v>
      </c>
      <c r="K104" s="14" t="s">
        <v>6</v>
      </c>
      <c r="L104" s="14" t="s">
        <v>7</v>
      </c>
      <c r="M104" s="14" t="s">
        <v>69</v>
      </c>
      <c r="N104" s="38"/>
      <c r="O104" s="39"/>
      <c r="P104" s="9"/>
      <c r="Q104" s="9"/>
      <c r="R104" s="55"/>
      <c r="W104" s="2"/>
      <c r="X104" s="2"/>
    </row>
    <row r="105" spans="1:24">
      <c r="A105" s="37"/>
      <c r="B105" s="31" t="s">
        <v>117</v>
      </c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48"/>
      <c r="N105" s="38"/>
      <c r="O105" s="39"/>
      <c r="P105" s="9"/>
      <c r="Q105" s="9"/>
      <c r="R105" s="55"/>
      <c r="W105" s="2"/>
      <c r="X105" s="2"/>
    </row>
    <row r="106" spans="1:24" ht="15" customHeight="1">
      <c r="A106" s="44">
        <v>15</v>
      </c>
      <c r="B106" s="46" t="s">
        <v>137</v>
      </c>
      <c r="C106" s="59" t="s">
        <v>153</v>
      </c>
      <c r="D106" s="59"/>
      <c r="E106" s="59"/>
      <c r="F106" s="41">
        <v>3</v>
      </c>
      <c r="G106" s="41" t="s">
        <v>10</v>
      </c>
      <c r="H106" s="41" t="s">
        <v>157</v>
      </c>
      <c r="I106" s="41">
        <v>6</v>
      </c>
      <c r="J106" s="41" t="s">
        <v>26</v>
      </c>
      <c r="K106" s="41" t="s">
        <v>12</v>
      </c>
      <c r="L106" s="41">
        <v>26</v>
      </c>
      <c r="M106" s="9">
        <v>41</v>
      </c>
      <c r="N106" s="38"/>
      <c r="O106" s="39">
        <v>25</v>
      </c>
      <c r="P106" s="9">
        <v>25</v>
      </c>
      <c r="Q106" s="9">
        <v>10</v>
      </c>
      <c r="R106" s="55"/>
      <c r="W106" s="2"/>
      <c r="X106" s="2"/>
    </row>
    <row r="107" spans="1:24" ht="15" customHeight="1">
      <c r="A107" s="44">
        <v>19</v>
      </c>
      <c r="B107" s="46" t="s">
        <v>152</v>
      </c>
      <c r="C107" s="59" t="s">
        <v>151</v>
      </c>
      <c r="D107" s="59"/>
      <c r="E107" s="59"/>
      <c r="F107" s="41">
        <v>4</v>
      </c>
      <c r="G107" s="41" t="s">
        <v>10</v>
      </c>
      <c r="H107" s="41" t="s">
        <v>158</v>
      </c>
      <c r="I107" s="41">
        <v>18</v>
      </c>
      <c r="J107" s="41" t="s">
        <v>26</v>
      </c>
      <c r="K107" s="41" t="s">
        <v>12</v>
      </c>
      <c r="L107" s="41">
        <v>26</v>
      </c>
      <c r="M107" s="53">
        <f>104/3</f>
        <v>34.666666666666664</v>
      </c>
      <c r="N107" s="38"/>
      <c r="O107" s="39">
        <v>25</v>
      </c>
      <c r="P107" s="9">
        <v>25</v>
      </c>
      <c r="Q107" s="9">
        <v>10</v>
      </c>
      <c r="R107" s="55"/>
      <c r="W107" s="2"/>
      <c r="X107" s="2"/>
    </row>
    <row r="108" spans="1:24" ht="15" customHeight="1">
      <c r="A108" s="44">
        <v>10</v>
      </c>
      <c r="B108" s="46" t="s">
        <v>138</v>
      </c>
      <c r="C108" s="59" t="s">
        <v>139</v>
      </c>
      <c r="D108" s="59"/>
      <c r="E108" s="59"/>
      <c r="F108" s="41">
        <v>5</v>
      </c>
      <c r="G108" s="41" t="s">
        <v>149</v>
      </c>
      <c r="H108" s="41" t="s">
        <v>155</v>
      </c>
      <c r="I108" s="41">
        <v>4</v>
      </c>
      <c r="J108" s="41" t="s">
        <v>17</v>
      </c>
      <c r="K108" s="41" t="s">
        <v>12</v>
      </c>
      <c r="L108" s="41">
        <v>26</v>
      </c>
      <c r="M108" s="9">
        <v>0</v>
      </c>
      <c r="N108" s="38"/>
      <c r="O108" s="39">
        <v>25</v>
      </c>
      <c r="P108" s="9">
        <v>25</v>
      </c>
      <c r="Q108" s="9">
        <v>10</v>
      </c>
      <c r="R108" s="55"/>
      <c r="W108" s="2"/>
      <c r="X108" s="2"/>
    </row>
    <row r="109" spans="1:24" ht="15" customHeight="1">
      <c r="A109" s="44">
        <v>18</v>
      </c>
      <c r="B109" s="31" t="s">
        <v>141</v>
      </c>
      <c r="C109" s="45" t="s">
        <v>142</v>
      </c>
      <c r="D109" s="45"/>
      <c r="E109" s="45"/>
      <c r="F109" s="2">
        <v>6</v>
      </c>
      <c r="G109" s="2" t="s">
        <v>154</v>
      </c>
      <c r="H109" s="2" t="s">
        <v>156</v>
      </c>
      <c r="I109" s="2">
        <v>24</v>
      </c>
      <c r="J109" s="2" t="s">
        <v>33</v>
      </c>
      <c r="K109" s="2" t="s">
        <v>12</v>
      </c>
      <c r="L109" s="2">
        <v>27</v>
      </c>
      <c r="M109" s="9">
        <v>0</v>
      </c>
      <c r="O109" s="1">
        <v>25</v>
      </c>
      <c r="P109" s="9">
        <v>25</v>
      </c>
      <c r="Q109" s="9">
        <v>10</v>
      </c>
      <c r="R109" s="55"/>
      <c r="W109" s="2"/>
      <c r="X109" s="2"/>
    </row>
    <row r="110" spans="1:24" ht="15" customHeight="1">
      <c r="F110" s="31"/>
      <c r="G110" s="31"/>
      <c r="H110" s="31"/>
      <c r="I110" s="52"/>
      <c r="J110" s="31"/>
      <c r="K110" s="31"/>
      <c r="L110" s="31"/>
      <c r="N110" s="38"/>
      <c r="O110" s="39"/>
      <c r="P110" s="2"/>
      <c r="Q110" s="2"/>
      <c r="R110" s="55"/>
      <c r="W110" s="2"/>
      <c r="X110" s="2"/>
    </row>
    <row r="111" spans="1:24" ht="15" customHeight="1">
      <c r="A111" s="37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48"/>
      <c r="N111" s="38"/>
      <c r="O111" s="39"/>
      <c r="P111" s="9"/>
      <c r="Q111" s="9"/>
      <c r="R111" s="55"/>
      <c r="S111" s="1">
        <f>SUM(P106:P109)</f>
        <v>100</v>
      </c>
      <c r="W111" s="2"/>
      <c r="X111" s="2"/>
    </row>
    <row r="112" spans="1:24" ht="15" customHeight="1">
      <c r="A112" s="37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48"/>
      <c r="N112" s="38"/>
      <c r="O112" s="39"/>
      <c r="P112" s="39"/>
      <c r="Q112" s="39"/>
      <c r="R112" s="55"/>
      <c r="W112" s="2"/>
      <c r="X112" s="2"/>
    </row>
    <row r="113" spans="1:24">
      <c r="A113" s="37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48"/>
      <c r="N113" s="38"/>
      <c r="O113" s="9">
        <f>SUM(O86:O109)</f>
        <v>400</v>
      </c>
      <c r="P113" s="9">
        <f>SUM(P86:P109)</f>
        <v>400</v>
      </c>
      <c r="Q113" s="9">
        <f>SUM(Q86:Q109)</f>
        <v>160</v>
      </c>
      <c r="R113" s="27">
        <f>P113-Q113</f>
        <v>240</v>
      </c>
      <c r="W113" s="2"/>
      <c r="X113" s="2"/>
    </row>
    <row r="114" spans="1:24">
      <c r="A114" s="37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48"/>
      <c r="N114" s="38"/>
      <c r="O114" s="39"/>
      <c r="P114" s="39"/>
      <c r="Q114" s="39"/>
      <c r="R114" s="55"/>
      <c r="W114" s="2"/>
      <c r="X114" s="2"/>
    </row>
    <row r="115" spans="1:24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9"/>
      <c r="N115" s="8"/>
      <c r="O115" s="9"/>
      <c r="P115" s="8"/>
      <c r="Q115" s="8"/>
      <c r="R115" s="36"/>
      <c r="T115" s="2"/>
      <c r="U115" s="2"/>
    </row>
    <row r="116" spans="1:24" ht="15.75" thickBot="1">
      <c r="A116" s="11"/>
      <c r="B116" s="3"/>
      <c r="C116" s="3"/>
      <c r="D116" s="3"/>
      <c r="E116" s="3"/>
      <c r="F116" s="3"/>
      <c r="G116" s="3"/>
      <c r="H116" s="4"/>
      <c r="I116" s="3"/>
      <c r="J116" s="3"/>
      <c r="K116" s="3"/>
      <c r="L116" s="3"/>
      <c r="M116" s="4"/>
      <c r="N116" s="4"/>
      <c r="O116" s="3"/>
      <c r="P116" s="3"/>
      <c r="Q116" s="3"/>
      <c r="R116" s="49"/>
    </row>
  </sheetData>
  <mergeCells count="15">
    <mergeCell ref="B82:Q82"/>
    <mergeCell ref="C86:E86"/>
    <mergeCell ref="C88:E88"/>
    <mergeCell ref="C94:E94"/>
    <mergeCell ref="C95:E95"/>
    <mergeCell ref="C108:E108"/>
    <mergeCell ref="C90:E90"/>
    <mergeCell ref="C107:E107"/>
    <mergeCell ref="C98:E98"/>
    <mergeCell ref="C99:E99"/>
    <mergeCell ref="C100:E100"/>
    <mergeCell ref="C101:E101"/>
    <mergeCell ref="C106:E106"/>
    <mergeCell ref="C97:E97"/>
    <mergeCell ref="C96:E96"/>
  </mergeCells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FOCUS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</dc:creator>
  <cp:lastModifiedBy>Bloode</cp:lastModifiedBy>
  <dcterms:created xsi:type="dcterms:W3CDTF">2019-06-13T18:25:00Z</dcterms:created>
  <dcterms:modified xsi:type="dcterms:W3CDTF">2023-10-18T03:41:54Z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3082-11.2.0.8942</vt:lpwstr>
  </property>
</Properties>
</file>
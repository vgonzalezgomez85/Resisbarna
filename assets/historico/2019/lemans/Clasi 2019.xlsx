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23256" windowHeight="12348"/>
  </bookViews>
  <sheets>
    <sheet name="Hoja1" sheetId="1" r:id="rId1"/>
    <sheet name="Hoja3" sheetId="3" r:id="rId2"/>
  </sheets>
  <calcPr calcId="145621"/>
</workbook>
</file>

<file path=xl/calcChain.xml><?xml version="1.0" encoding="utf-8"?>
<calcChain xmlns="http://schemas.openxmlformats.org/spreadsheetml/2006/main">
  <c r="H6" i="1" l="1"/>
  <c r="H5" i="1"/>
  <c r="H4" i="1"/>
  <c r="H10" i="1" l="1"/>
  <c r="M26" i="1" s="1"/>
  <c r="H11" i="1"/>
  <c r="H7" i="1"/>
  <c r="M25" i="1" s="1"/>
  <c r="H8" i="1"/>
  <c r="H12" i="1"/>
  <c r="M27" i="1" s="1"/>
  <c r="H13" i="1"/>
  <c r="H14" i="1"/>
  <c r="H15" i="1"/>
  <c r="H30" i="1"/>
  <c r="H16" i="1"/>
  <c r="H17" i="1"/>
  <c r="H19" i="1"/>
  <c r="H20" i="1"/>
  <c r="H18" i="1"/>
  <c r="H23" i="1"/>
  <c r="H24" i="1"/>
  <c r="H21" i="1"/>
  <c r="H22" i="1"/>
  <c r="H46" i="1"/>
  <c r="H28" i="1"/>
  <c r="H29" i="1"/>
  <c r="H27" i="1"/>
  <c r="H26" i="1"/>
  <c r="H31" i="1"/>
  <c r="H41" i="1"/>
  <c r="H36" i="1"/>
  <c r="H42" i="1"/>
  <c r="H43" i="1"/>
  <c r="H32" i="1"/>
  <c r="H33" i="1"/>
  <c r="H34" i="1"/>
  <c r="H35" i="1"/>
  <c r="H37" i="1"/>
  <c r="H38" i="1"/>
  <c r="H39" i="1"/>
  <c r="H40" i="1"/>
  <c r="M29" i="1" s="1"/>
  <c r="H44" i="1"/>
  <c r="H45" i="1"/>
  <c r="H47" i="1"/>
  <c r="M14" i="1"/>
  <c r="M31" i="1"/>
  <c r="H25" i="1"/>
  <c r="H9" i="1"/>
  <c r="M12" i="1" l="1"/>
  <c r="M39" i="1"/>
  <c r="M30" i="1"/>
  <c r="M13" i="1"/>
  <c r="M28" i="1"/>
  <c r="M1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51" i="1"/>
  <c r="AE14" i="1" l="1"/>
  <c r="AE11" i="1"/>
  <c r="AE25" i="1"/>
  <c r="AE26" i="1"/>
  <c r="AE28" i="1"/>
  <c r="AE29" i="1"/>
  <c r="AE30" i="1"/>
  <c r="AE31" i="1"/>
  <c r="AE32" i="1"/>
  <c r="AE24" i="1"/>
  <c r="AE13" i="1" l="1"/>
  <c r="AE12" i="1"/>
</calcChain>
</file>

<file path=xl/sharedStrings.xml><?xml version="1.0" encoding="utf-8"?>
<sst xmlns="http://schemas.openxmlformats.org/spreadsheetml/2006/main" count="172" uniqueCount="145">
  <si>
    <t xml:space="preserve">M. Lansac </t>
  </si>
  <si>
    <t>G. Portet</t>
  </si>
  <si>
    <t>J. Valbuena</t>
  </si>
  <si>
    <t>JMª Sererols</t>
  </si>
  <si>
    <t>E. Cerdà</t>
  </si>
  <si>
    <t>D. Izquierdo</t>
  </si>
  <si>
    <t>A. Tomas</t>
  </si>
  <si>
    <t>R. Sanchez</t>
  </si>
  <si>
    <t>A. Parera</t>
  </si>
  <si>
    <t>I. Gomez</t>
  </si>
  <si>
    <t>J. Perez</t>
  </si>
  <si>
    <t>JMª Molins</t>
  </si>
  <si>
    <t>C. Carreño</t>
  </si>
  <si>
    <t>B. Porta</t>
  </si>
  <si>
    <t>J. Robles</t>
  </si>
  <si>
    <t>I. Nevado</t>
  </si>
  <si>
    <t>V. Gonzalez</t>
  </si>
  <si>
    <t>21H</t>
  </si>
  <si>
    <t>El Sot Team</t>
  </si>
  <si>
    <t>BiciEstacio</t>
  </si>
  <si>
    <t>Slot34you</t>
  </si>
  <si>
    <t>Estel.lats</t>
  </si>
  <si>
    <t>Momo</t>
  </si>
  <si>
    <t>Slotmania</t>
  </si>
  <si>
    <t>BSR Paddock</t>
  </si>
  <si>
    <t>SCM</t>
  </si>
  <si>
    <t>El Sot Fu</t>
  </si>
  <si>
    <t>Cric Crac</t>
  </si>
  <si>
    <t>El Sot Abarth</t>
  </si>
  <si>
    <t>Arreplegats</t>
  </si>
  <si>
    <t>20:30H</t>
  </si>
  <si>
    <t>Slot4You Cuidadin</t>
  </si>
  <si>
    <t>Slotmania 69 Warriors</t>
  </si>
  <si>
    <t>El Sot Horta</t>
  </si>
  <si>
    <t xml:space="preserve">Jueves 13 </t>
  </si>
  <si>
    <t>Viernes 14</t>
  </si>
  <si>
    <t>Crono 1</t>
  </si>
  <si>
    <t>Total</t>
  </si>
  <si>
    <t>22 gr</t>
  </si>
  <si>
    <t>5 gr</t>
  </si>
  <si>
    <t>3,5 gr</t>
  </si>
  <si>
    <t>2 gr</t>
  </si>
  <si>
    <t xml:space="preserve">5 gr </t>
  </si>
  <si>
    <t xml:space="preserve">Audi R18, R8 y Lola lola </t>
  </si>
  <si>
    <t>Audi E-tron y Lola Aston</t>
  </si>
  <si>
    <t>22,5 gr</t>
  </si>
  <si>
    <t>21 gr</t>
  </si>
  <si>
    <t>19,5 gr</t>
  </si>
  <si>
    <t>19 gr</t>
  </si>
  <si>
    <t>20,5 gr</t>
  </si>
  <si>
    <t>Crono</t>
  </si>
  <si>
    <t>Besay</t>
  </si>
  <si>
    <t>neo</t>
  </si>
  <si>
    <t>Ruben</t>
  </si>
  <si>
    <t>Alex</t>
  </si>
  <si>
    <t>Isra</t>
  </si>
  <si>
    <t>Valeri</t>
  </si>
  <si>
    <t>Cerda</t>
  </si>
  <si>
    <t>Serrerolds</t>
  </si>
  <si>
    <t>Adam</t>
  </si>
  <si>
    <t>Jordi</t>
  </si>
  <si>
    <t>Julen</t>
  </si>
  <si>
    <t>Marc</t>
  </si>
  <si>
    <t>Germas</t>
  </si>
  <si>
    <t>Karry</t>
  </si>
  <si>
    <t>Simo</t>
  </si>
  <si>
    <t>Victor</t>
  </si>
  <si>
    <t>Repiso</t>
  </si>
  <si>
    <t>Marc c</t>
  </si>
  <si>
    <t>Jorgito</t>
  </si>
  <si>
    <t>Jordi R</t>
  </si>
  <si>
    <t>Albert Lomba</t>
  </si>
  <si>
    <t>D izqueirdo</t>
  </si>
  <si>
    <t>A tomas</t>
  </si>
  <si>
    <t>Javi m</t>
  </si>
  <si>
    <t>lorenzo</t>
  </si>
  <si>
    <t xml:space="preserve">Isra </t>
  </si>
  <si>
    <t>Dario Biondi</t>
  </si>
  <si>
    <t>V. Jonama</t>
  </si>
  <si>
    <t>CRONO</t>
  </si>
  <si>
    <t>TOTAL</t>
  </si>
  <si>
    <t>GRANOLLERS</t>
  </si>
  <si>
    <t>SUPERDOME</t>
  </si>
  <si>
    <t>sabado</t>
  </si>
  <si>
    <t>Lola</t>
  </si>
  <si>
    <t xml:space="preserve">4 gr. </t>
  </si>
  <si>
    <t xml:space="preserve">V. Jonama </t>
  </si>
  <si>
    <t>Sergi Solà</t>
  </si>
  <si>
    <t>Israel Gomez</t>
  </si>
  <si>
    <t>JUEVES</t>
  </si>
  <si>
    <t>21h</t>
  </si>
  <si>
    <t>VIERNES</t>
  </si>
  <si>
    <t>SABADO</t>
  </si>
  <si>
    <t>SLOT-CAR CAVI Francesc Vivas/Toni Castañe</t>
  </si>
  <si>
    <t>SLOT-CAR SRT Marc Nomen/Adolfo Chico</t>
  </si>
  <si>
    <t>M-TEAM Sergi Martinez/ Jose Mª Martinez</t>
  </si>
  <si>
    <t>POTABLAVA TEAM Pedro Martinez/Pedro Martinez Jr</t>
  </si>
  <si>
    <t xml:space="preserve">V-TEAM Victor Velasco/Abel Vizu   </t>
  </si>
  <si>
    <t>CRIC CRAC. Valeri Jonama - Israel Gomez</t>
  </si>
  <si>
    <t>SLOT34YOU. Adam Parera - Jordi Perez</t>
  </si>
  <si>
    <t>EL SOT TEAM. Eduard Cerdà - JMª Serrerols</t>
  </si>
  <si>
    <t>SLOT4YOU. Vicens - Joel</t>
  </si>
  <si>
    <t>El SOT FU. Jordi - Àlex</t>
  </si>
  <si>
    <t>Slot Car &amp; SAB German Saez/Raul Egea</t>
  </si>
  <si>
    <t>United Drivers. Israel Nevado - Victor González</t>
  </si>
  <si>
    <t xml:space="preserve">Slot-Car Trucks. Sergi Cartró - Xavier Vernet.  </t>
  </si>
  <si>
    <t>Edu Gil - Albert Tomás</t>
  </si>
  <si>
    <t>ARREPLEGATS. Marc Lansac - Julen Valbuena-Germa Portet</t>
  </si>
  <si>
    <t>HOTSLOTFORYOU - Xavi cortada - Jordi Canyelles</t>
  </si>
  <si>
    <t>I3D. Ignasi baldominos - Secund Rio</t>
  </si>
  <si>
    <t>SLOTMANIA MOMO. Besay - Neo</t>
  </si>
  <si>
    <t>GAS CLAVAT. Lluis - Jesus</t>
  </si>
  <si>
    <t>MOMO RALLY. Uri Capdevila - Carles Carreño</t>
  </si>
  <si>
    <t>El Sot M&amp;O. Manel soriano - Oscar Vila</t>
  </si>
  <si>
    <t>SLOTMANIA RIDERS Sergi Sola- David izquierdo</t>
  </si>
  <si>
    <t xml:space="preserve">MarcNomen </t>
  </si>
  <si>
    <t>Adolfo Chico</t>
  </si>
  <si>
    <t>Uri  Capdevila</t>
  </si>
  <si>
    <t>A. Robles</t>
  </si>
  <si>
    <t>E. Gil</t>
  </si>
  <si>
    <t>A. tomas</t>
  </si>
  <si>
    <t>E. cerda</t>
  </si>
  <si>
    <t>JM Serrerols</t>
  </si>
  <si>
    <t>V. Febrero</t>
  </si>
  <si>
    <t>j. Mendizabal</t>
  </si>
  <si>
    <t>S. Martinez</t>
  </si>
  <si>
    <t>JM Martinez</t>
  </si>
  <si>
    <t>J. Canyelles</t>
  </si>
  <si>
    <t xml:space="preserve">X. Cortada </t>
  </si>
  <si>
    <t>F. Vives</t>
  </si>
  <si>
    <t>T. Castanye</t>
  </si>
  <si>
    <t>X. Vernet</t>
  </si>
  <si>
    <t>S. Cartro</t>
  </si>
  <si>
    <t>V. velasco</t>
  </si>
  <si>
    <t>Abel Vizu</t>
  </si>
  <si>
    <t>G. Saez</t>
  </si>
  <si>
    <t>R. Egea</t>
  </si>
  <si>
    <t>M.  Soriano</t>
  </si>
  <si>
    <t>O. Vila</t>
  </si>
  <si>
    <t>P. Martinez</t>
  </si>
  <si>
    <t>P. Martinez Jr.</t>
  </si>
  <si>
    <t>Lluis</t>
  </si>
  <si>
    <t>Jesus</t>
  </si>
  <si>
    <t>SLOT CAR</t>
  </si>
  <si>
    <t>G.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</si>
</sst>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2" fillId="2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114"/>
  <sheetViews>
    <sheetView tabSelected="1" topLeftCell="C1" workbookViewId="0">
      <selection activeCell="H4" sqref="H4:H6"/>
    </sheetView>
  </sheetViews>
  <sheetFormatPr baseColWidth="10" defaultRowHeight="14.4" x14ac:dyDescent="0.3"/>
  <cols>
    <col min="2" max="2" width="31.88671875" customWidth="1"/>
    <col min="3" max="3" width="2.44140625" customWidth="1"/>
    <col min="5" max="5" width="7.5546875" style="4" bestFit="1" customWidth="1"/>
    <col min="6" max="6" width="12.44140625" style="1" bestFit="1" customWidth="1"/>
    <col min="7" max="7" width="12" style="1" bestFit="1" customWidth="1"/>
    <col min="8" max="8" width="11.44140625" style="5"/>
    <col min="9" max="9" width="11.44140625" style="4"/>
    <col min="10" max="10" width="5.33203125" style="4" customWidth="1"/>
    <col min="11" max="11" width="2.6640625" style="4" customWidth="1"/>
    <col min="12" max="12" width="63.88671875" style="9" customWidth="1"/>
    <col min="13" max="13" width="5.5546875" style="4" customWidth="1"/>
    <col min="14" max="14" width="22.44140625" style="4" bestFit="1" customWidth="1"/>
    <col min="15" max="15" width="19.44140625" style="4" bestFit="1" customWidth="1"/>
    <col min="16" max="16" width="22.44140625" style="4" bestFit="1" customWidth="1"/>
    <col min="17" max="23" width="11.44140625" style="4"/>
    <col min="25" max="25" width="28.6640625" customWidth="1"/>
    <col min="26" max="26" width="3.88671875" customWidth="1"/>
    <col min="27" max="27" width="3.6640625" customWidth="1"/>
    <col min="28" max="28" width="3" bestFit="1" customWidth="1"/>
    <col min="29" max="30" width="3" customWidth="1"/>
    <col min="34" max="34" width="20.6640625" customWidth="1"/>
    <col min="35" max="35" width="1.88671875" customWidth="1"/>
    <col min="38" max="38" width="20.33203125" style="1" bestFit="1" customWidth="1"/>
    <col min="39" max="39" width="20.5546875" bestFit="1" customWidth="1"/>
  </cols>
  <sheetData>
    <row r="2" spans="1:39" ht="15" x14ac:dyDescent="0.25">
      <c r="AL2" s="2" t="s">
        <v>43</v>
      </c>
      <c r="AM2" s="3" t="s">
        <v>44</v>
      </c>
    </row>
    <row r="3" spans="1:39" ht="15" x14ac:dyDescent="0.25">
      <c r="D3" t="s">
        <v>143</v>
      </c>
      <c r="E3" s="4" t="s">
        <v>79</v>
      </c>
      <c r="F3" s="1" t="s">
        <v>81</v>
      </c>
      <c r="G3" s="1" t="s">
        <v>82</v>
      </c>
      <c r="H3" s="5" t="s">
        <v>80</v>
      </c>
      <c r="AJ3" t="s">
        <v>84</v>
      </c>
      <c r="AK3" t="s">
        <v>37</v>
      </c>
      <c r="AL3" s="1" t="s">
        <v>37</v>
      </c>
      <c r="AM3" s="1" t="s">
        <v>37</v>
      </c>
    </row>
    <row r="4" spans="1:39" x14ac:dyDescent="0.3">
      <c r="A4">
        <v>1</v>
      </c>
      <c r="B4" t="s">
        <v>0</v>
      </c>
      <c r="D4" s="1">
        <v>70</v>
      </c>
      <c r="H4" s="5">
        <f t="shared" ref="H4:H6" si="0">SUM(D4:G4)</f>
        <v>70</v>
      </c>
      <c r="AM4" s="1"/>
    </row>
    <row r="5" spans="1:39" x14ac:dyDescent="0.3">
      <c r="A5">
        <v>1</v>
      </c>
      <c r="B5" t="s">
        <v>1</v>
      </c>
      <c r="D5" s="1">
        <v>70</v>
      </c>
      <c r="H5" s="5">
        <f t="shared" si="0"/>
        <v>70</v>
      </c>
      <c r="AM5" s="1"/>
    </row>
    <row r="6" spans="1:39" x14ac:dyDescent="0.3">
      <c r="A6">
        <v>1</v>
      </c>
      <c r="B6" t="s">
        <v>2</v>
      </c>
      <c r="D6" s="1">
        <v>70</v>
      </c>
      <c r="H6" s="5">
        <f t="shared" si="0"/>
        <v>70</v>
      </c>
      <c r="AM6" s="1"/>
    </row>
    <row r="7" spans="1:39" x14ac:dyDescent="0.3">
      <c r="A7">
        <v>2</v>
      </c>
      <c r="B7" t="s">
        <v>13</v>
      </c>
      <c r="D7" s="1">
        <v>64</v>
      </c>
      <c r="E7" s="1"/>
      <c r="H7" s="5">
        <f>SUM(D7:G7)</f>
        <v>64</v>
      </c>
      <c r="AH7" t="s">
        <v>0</v>
      </c>
      <c r="AJ7" s="1" t="s">
        <v>42</v>
      </c>
      <c r="AK7" s="1"/>
      <c r="AL7" s="1" t="s">
        <v>38</v>
      </c>
      <c r="AM7" s="1" t="s">
        <v>45</v>
      </c>
    </row>
    <row r="8" spans="1:39" x14ac:dyDescent="0.3">
      <c r="A8">
        <v>2</v>
      </c>
      <c r="B8" t="s">
        <v>11</v>
      </c>
      <c r="D8" s="1">
        <v>64</v>
      </c>
      <c r="E8" s="1"/>
      <c r="H8" s="5">
        <f>SUM(D8:G8)</f>
        <v>64</v>
      </c>
      <c r="J8"/>
      <c r="K8"/>
      <c r="L8" s="9" t="s">
        <v>89</v>
      </c>
      <c r="M8"/>
      <c r="N8"/>
      <c r="AH8" t="s">
        <v>2</v>
      </c>
      <c r="AJ8" s="1" t="s">
        <v>39</v>
      </c>
      <c r="AK8" s="1"/>
      <c r="AL8" s="1" t="s">
        <v>38</v>
      </c>
      <c r="AM8" s="1" t="s">
        <v>45</v>
      </c>
    </row>
    <row r="9" spans="1:39" x14ac:dyDescent="0.3">
      <c r="A9">
        <v>3</v>
      </c>
      <c r="B9" t="s">
        <v>115</v>
      </c>
      <c r="D9" s="1">
        <v>59</v>
      </c>
      <c r="E9" s="1"/>
      <c r="H9" s="5">
        <f>SUM(D9:G9)</f>
        <v>59</v>
      </c>
      <c r="J9"/>
      <c r="K9"/>
      <c r="M9"/>
      <c r="N9"/>
      <c r="Y9" t="s">
        <v>34</v>
      </c>
      <c r="AE9" t="s">
        <v>30</v>
      </c>
      <c r="AH9" t="s">
        <v>3</v>
      </c>
      <c r="AJ9" s="1" t="s">
        <v>40</v>
      </c>
      <c r="AK9" s="1"/>
      <c r="AL9" s="1" t="s">
        <v>49</v>
      </c>
      <c r="AM9" s="1" t="s">
        <v>46</v>
      </c>
    </row>
    <row r="10" spans="1:39" x14ac:dyDescent="0.3">
      <c r="A10">
        <v>3</v>
      </c>
      <c r="B10" t="s">
        <v>116</v>
      </c>
      <c r="D10" s="1">
        <v>59</v>
      </c>
      <c r="E10" s="1"/>
      <c r="H10" s="5">
        <f t="shared" ref="H10:H46" si="1">SUM(D10:G10)</f>
        <v>59</v>
      </c>
      <c r="J10"/>
      <c r="K10"/>
      <c r="L10" s="10" t="s">
        <v>90</v>
      </c>
      <c r="M10"/>
      <c r="N10"/>
      <c r="AH10" t="s">
        <v>4</v>
      </c>
      <c r="AJ10" s="1" t="s">
        <v>40</v>
      </c>
      <c r="AK10" s="1"/>
      <c r="AL10" s="1" t="s">
        <v>49</v>
      </c>
      <c r="AM10" s="1" t="s">
        <v>46</v>
      </c>
    </row>
    <row r="11" spans="1:39" x14ac:dyDescent="0.3">
      <c r="A11">
        <v>4</v>
      </c>
      <c r="B11" t="s">
        <v>78</v>
      </c>
      <c r="D11" s="1">
        <v>55</v>
      </c>
      <c r="E11" s="1"/>
      <c r="H11" s="5">
        <f t="shared" si="1"/>
        <v>55</v>
      </c>
      <c r="J11" s="4">
        <v>1</v>
      </c>
      <c r="K11"/>
      <c r="L11" s="8" t="s">
        <v>99</v>
      </c>
      <c r="M11" s="6">
        <f>(+H15+H30)/2</f>
        <v>46</v>
      </c>
      <c r="N11"/>
      <c r="X11">
        <v>1</v>
      </c>
      <c r="Y11" t="s">
        <v>27</v>
      </c>
      <c r="AB11">
        <v>55</v>
      </c>
      <c r="AC11">
        <v>59</v>
      </c>
      <c r="AD11">
        <v>59</v>
      </c>
      <c r="AE11">
        <f>SUM(AA11:AD11)/4</f>
        <v>43.25</v>
      </c>
      <c r="AH11" t="s">
        <v>5</v>
      </c>
      <c r="AJ11" s="1" t="s">
        <v>41</v>
      </c>
      <c r="AK11" s="1"/>
      <c r="AL11" s="1" t="s">
        <v>48</v>
      </c>
      <c r="AM11" s="1" t="s">
        <v>47</v>
      </c>
    </row>
    <row r="12" spans="1:39" x14ac:dyDescent="0.3">
      <c r="A12">
        <v>4</v>
      </c>
      <c r="B12" t="s">
        <v>88</v>
      </c>
      <c r="D12" s="1">
        <v>55</v>
      </c>
      <c r="E12" s="1"/>
      <c r="H12" s="5">
        <f t="shared" si="1"/>
        <v>55</v>
      </c>
      <c r="J12" s="4">
        <v>2</v>
      </c>
      <c r="K12"/>
      <c r="L12" s="8" t="s">
        <v>112</v>
      </c>
      <c r="M12" s="6">
        <f>(+H17+H32)/2</f>
        <v>44.5</v>
      </c>
      <c r="N12"/>
      <c r="X12">
        <v>2</v>
      </c>
      <c r="Y12" t="s">
        <v>33</v>
      </c>
      <c r="AB12">
        <v>52</v>
      </c>
      <c r="AE12">
        <f>+AB12/2</f>
        <v>26</v>
      </c>
      <c r="AH12" t="s">
        <v>6</v>
      </c>
      <c r="AJ12" s="1" t="s">
        <v>41</v>
      </c>
      <c r="AK12" s="1"/>
      <c r="AL12" s="1" t="s">
        <v>48</v>
      </c>
      <c r="AM12" s="1" t="s">
        <v>47</v>
      </c>
    </row>
    <row r="13" spans="1:39" x14ac:dyDescent="0.3">
      <c r="A13">
        <v>5</v>
      </c>
      <c r="B13" t="s">
        <v>117</v>
      </c>
      <c r="D13" s="1">
        <v>52</v>
      </c>
      <c r="E13" s="1"/>
      <c r="H13" s="5">
        <f t="shared" si="1"/>
        <v>52</v>
      </c>
      <c r="J13" s="4">
        <v>3</v>
      </c>
      <c r="K13"/>
      <c r="L13" s="8" t="s">
        <v>102</v>
      </c>
      <c r="M13" s="6">
        <f>(+H19+H58)/2</f>
        <v>24</v>
      </c>
      <c r="N13" s="7"/>
      <c r="X13">
        <v>3</v>
      </c>
      <c r="Y13" t="s">
        <v>26</v>
      </c>
      <c r="AB13">
        <v>52</v>
      </c>
      <c r="AE13">
        <f>+AB13/2</f>
        <v>26</v>
      </c>
      <c r="AH13" t="s">
        <v>7</v>
      </c>
      <c r="AJ13" s="1" t="s">
        <v>85</v>
      </c>
      <c r="AK13" s="1"/>
      <c r="AL13" s="1" t="s">
        <v>48</v>
      </c>
      <c r="AM13" s="1" t="s">
        <v>47</v>
      </c>
    </row>
    <row r="14" spans="1:39" x14ac:dyDescent="0.3">
      <c r="A14">
        <v>5</v>
      </c>
      <c r="B14" t="s">
        <v>12</v>
      </c>
      <c r="D14" s="1">
        <v>52</v>
      </c>
      <c r="E14" s="1"/>
      <c r="H14" s="5">
        <f t="shared" si="1"/>
        <v>52</v>
      </c>
      <c r="J14" s="4">
        <v>4</v>
      </c>
      <c r="K14"/>
      <c r="L14" s="8" t="s">
        <v>113</v>
      </c>
      <c r="M14" s="6">
        <f>+H51/2</f>
        <v>0</v>
      </c>
      <c r="N14" s="7"/>
      <c r="X14">
        <v>4</v>
      </c>
      <c r="Y14" t="s">
        <v>31</v>
      </c>
      <c r="AB14">
        <v>44</v>
      </c>
      <c r="AC14">
        <v>44</v>
      </c>
      <c r="AD14">
        <v>44</v>
      </c>
      <c r="AE14">
        <f>SUM(AA14:AD14)/4</f>
        <v>33</v>
      </c>
      <c r="AH14" t="s">
        <v>9</v>
      </c>
      <c r="AJ14" s="1" t="s">
        <v>40</v>
      </c>
      <c r="AK14" s="1"/>
      <c r="AM14" s="1"/>
    </row>
    <row r="15" spans="1:39" x14ac:dyDescent="0.3">
      <c r="A15">
        <v>5</v>
      </c>
      <c r="B15" t="s">
        <v>144</v>
      </c>
      <c r="D15" s="1">
        <v>52</v>
      </c>
      <c r="E15" s="1"/>
      <c r="H15" s="5">
        <f t="shared" si="1"/>
        <v>52</v>
      </c>
      <c r="J15" s="4">
        <v>5</v>
      </c>
      <c r="K15"/>
      <c r="L15" s="8" t="s">
        <v>105</v>
      </c>
      <c r="M15" s="6">
        <v>0</v>
      </c>
      <c r="N15" s="7"/>
      <c r="X15">
        <v>5</v>
      </c>
      <c r="Y15" t="s">
        <v>25</v>
      </c>
      <c r="AH15" t="s">
        <v>86</v>
      </c>
      <c r="AJ15" s="1" t="s">
        <v>40</v>
      </c>
      <c r="AK15" s="1"/>
      <c r="AM15" s="1"/>
    </row>
    <row r="16" spans="1:39" x14ac:dyDescent="0.3">
      <c r="A16">
        <v>6</v>
      </c>
      <c r="B16" t="s">
        <v>8</v>
      </c>
      <c r="D16" s="1">
        <v>50</v>
      </c>
      <c r="E16" s="1"/>
      <c r="H16" s="5">
        <f t="shared" si="1"/>
        <v>50</v>
      </c>
      <c r="J16" s="4">
        <v>6</v>
      </c>
      <c r="K16"/>
      <c r="L16" s="8" t="s">
        <v>103</v>
      </c>
      <c r="M16" s="6">
        <v>0</v>
      </c>
      <c r="N16" s="7"/>
      <c r="X16">
        <v>8</v>
      </c>
      <c r="Y16" t="s">
        <v>36</v>
      </c>
      <c r="AK16" s="1"/>
    </row>
    <row r="17" spans="1:39" x14ac:dyDescent="0.3">
      <c r="A17">
        <v>6</v>
      </c>
      <c r="B17" t="s">
        <v>10</v>
      </c>
      <c r="D17" s="1">
        <v>50</v>
      </c>
      <c r="E17" s="1"/>
      <c r="H17" s="5">
        <f t="shared" si="1"/>
        <v>50</v>
      </c>
      <c r="J17" s="4">
        <v>7</v>
      </c>
      <c r="K17"/>
      <c r="N17" s="7"/>
      <c r="AH17" t="s">
        <v>50</v>
      </c>
    </row>
    <row r="18" spans="1:39" x14ac:dyDescent="0.3">
      <c r="A18">
        <v>7</v>
      </c>
      <c r="B18" t="s">
        <v>87</v>
      </c>
      <c r="D18" s="1">
        <v>48</v>
      </c>
      <c r="E18" s="1"/>
      <c r="H18" s="5">
        <f>SUM(D18:G18)</f>
        <v>48</v>
      </c>
      <c r="J18" s="4">
        <v>8</v>
      </c>
      <c r="K18"/>
      <c r="N18" s="7"/>
      <c r="X18">
        <v>6</v>
      </c>
      <c r="Y18" t="s">
        <v>23</v>
      </c>
      <c r="AH18" t="s">
        <v>11</v>
      </c>
      <c r="AJ18" s="1" t="s">
        <v>42</v>
      </c>
    </row>
    <row r="19" spans="1:39" x14ac:dyDescent="0.3">
      <c r="A19">
        <v>7</v>
      </c>
      <c r="B19" t="s">
        <v>5</v>
      </c>
      <c r="D19" s="1">
        <v>48</v>
      </c>
      <c r="E19" s="1"/>
      <c r="H19" s="5">
        <f t="shared" si="1"/>
        <v>48</v>
      </c>
      <c r="J19" s="4">
        <v>9</v>
      </c>
      <c r="K19"/>
      <c r="M19" s="6"/>
      <c r="N19" s="7"/>
      <c r="X19">
        <v>7</v>
      </c>
      <c r="Y19" t="s">
        <v>32</v>
      </c>
      <c r="AH19" t="s">
        <v>13</v>
      </c>
      <c r="AJ19" s="1" t="s">
        <v>39</v>
      </c>
      <c r="AK19" s="1"/>
    </row>
    <row r="20" spans="1:39" x14ac:dyDescent="0.3">
      <c r="A20">
        <v>8</v>
      </c>
      <c r="B20" t="s">
        <v>14</v>
      </c>
      <c r="D20" s="1">
        <v>46</v>
      </c>
      <c r="E20" s="1"/>
      <c r="H20" s="5">
        <f t="shared" si="1"/>
        <v>46</v>
      </c>
      <c r="J20" s="4">
        <v>10</v>
      </c>
      <c r="K20"/>
      <c r="M20"/>
      <c r="N20" s="7"/>
      <c r="AK20" s="1"/>
    </row>
    <row r="21" spans="1:39" x14ac:dyDescent="0.3">
      <c r="A21">
        <v>8</v>
      </c>
      <c r="B21" t="s">
        <v>118</v>
      </c>
      <c r="D21" s="1">
        <v>46</v>
      </c>
      <c r="E21" s="1"/>
      <c r="H21" s="5">
        <f>SUM(D21:G21)</f>
        <v>46</v>
      </c>
      <c r="J21"/>
      <c r="K21"/>
      <c r="M21"/>
      <c r="N21" s="7"/>
      <c r="AK21" s="1"/>
    </row>
    <row r="22" spans="1:39" x14ac:dyDescent="0.3">
      <c r="A22">
        <v>9</v>
      </c>
      <c r="B22" t="s">
        <v>119</v>
      </c>
      <c r="D22" s="1">
        <v>44</v>
      </c>
      <c r="E22" s="1"/>
      <c r="H22" s="5">
        <f>SUM(D22:G22)</f>
        <v>44</v>
      </c>
      <c r="J22"/>
      <c r="K22"/>
      <c r="L22" s="9" t="s">
        <v>91</v>
      </c>
      <c r="M22"/>
      <c r="N22" s="7"/>
      <c r="Y22" t="s">
        <v>35</v>
      </c>
      <c r="AE22" t="s">
        <v>17</v>
      </c>
    </row>
    <row r="23" spans="1:39" x14ac:dyDescent="0.3">
      <c r="A23">
        <v>9</v>
      </c>
      <c r="B23" t="s">
        <v>120</v>
      </c>
      <c r="D23" s="1">
        <v>44</v>
      </c>
      <c r="E23" s="1"/>
      <c r="H23" s="5">
        <f t="shared" si="1"/>
        <v>44</v>
      </c>
      <c r="J23"/>
      <c r="K23"/>
      <c r="L23" s="11"/>
      <c r="M23" s="7"/>
      <c r="N23" s="7"/>
      <c r="AH23">
        <v>1</v>
      </c>
      <c r="AI23" t="s">
        <v>51</v>
      </c>
      <c r="AJ23">
        <v>70</v>
      </c>
    </row>
    <row r="24" spans="1:39" x14ac:dyDescent="0.3">
      <c r="A24">
        <v>10</v>
      </c>
      <c r="B24" t="s">
        <v>121</v>
      </c>
      <c r="D24" s="1">
        <v>43</v>
      </c>
      <c r="E24" s="1"/>
      <c r="H24" s="5">
        <f t="shared" si="1"/>
        <v>43</v>
      </c>
      <c r="J24"/>
      <c r="K24"/>
      <c r="L24" s="12" t="s">
        <v>90</v>
      </c>
      <c r="M24" s="7"/>
      <c r="N24" s="7"/>
      <c r="X24">
        <v>1</v>
      </c>
      <c r="Y24" t="s">
        <v>29</v>
      </c>
      <c r="AA24">
        <v>70</v>
      </c>
      <c r="AB24">
        <v>70</v>
      </c>
      <c r="AC24">
        <v>50</v>
      </c>
      <c r="AD24">
        <v>50</v>
      </c>
      <c r="AE24">
        <f>SUM(AA24:AD24)/4</f>
        <v>60</v>
      </c>
      <c r="AH24">
        <v>1</v>
      </c>
      <c r="AI24" t="s">
        <v>52</v>
      </c>
      <c r="AJ24">
        <v>70</v>
      </c>
    </row>
    <row r="25" spans="1:39" x14ac:dyDescent="0.3">
      <c r="A25">
        <v>10</v>
      </c>
      <c r="B25" t="s">
        <v>122</v>
      </c>
      <c r="D25" s="1">
        <v>43</v>
      </c>
      <c r="E25" s="1"/>
      <c r="H25" s="5">
        <f t="shared" ref="H25:H45" si="2">SUM(D25:G25)</f>
        <v>43</v>
      </c>
      <c r="J25" s="4">
        <v>1</v>
      </c>
      <c r="K25"/>
      <c r="L25" s="13" t="s">
        <v>110</v>
      </c>
      <c r="M25" s="6">
        <f>+H7</f>
        <v>64</v>
      </c>
      <c r="N25" s="7"/>
      <c r="X25">
        <v>2</v>
      </c>
      <c r="Y25" t="s">
        <v>18</v>
      </c>
      <c r="AA25">
        <v>64</v>
      </c>
      <c r="AB25">
        <v>64</v>
      </c>
      <c r="AC25">
        <v>55</v>
      </c>
      <c r="AD25">
        <v>55</v>
      </c>
      <c r="AE25">
        <f t="shared" ref="AE25:AE32" si="3">SUM(AA25:AD25)/4</f>
        <v>59.5</v>
      </c>
      <c r="AH25">
        <v>2</v>
      </c>
      <c r="AI25" t="s">
        <v>53</v>
      </c>
      <c r="AJ25">
        <v>64</v>
      </c>
    </row>
    <row r="26" spans="1:39" x14ac:dyDescent="0.3">
      <c r="A26">
        <v>11</v>
      </c>
      <c r="B26" t="s">
        <v>123</v>
      </c>
      <c r="D26" s="1">
        <v>42</v>
      </c>
      <c r="E26" s="1"/>
      <c r="H26" s="5">
        <f t="shared" si="2"/>
        <v>42</v>
      </c>
      <c r="J26" s="4">
        <v>2</v>
      </c>
      <c r="K26"/>
      <c r="L26" s="8" t="s">
        <v>100</v>
      </c>
      <c r="M26" s="6">
        <f>+H10</f>
        <v>59</v>
      </c>
      <c r="N26" s="7"/>
      <c r="X26">
        <v>3</v>
      </c>
      <c r="Y26" t="s">
        <v>19</v>
      </c>
      <c r="AA26">
        <v>59</v>
      </c>
      <c r="AB26">
        <v>59</v>
      </c>
      <c r="AC26">
        <v>42</v>
      </c>
      <c r="AD26">
        <v>42</v>
      </c>
      <c r="AE26">
        <f t="shared" si="3"/>
        <v>50.5</v>
      </c>
      <c r="AH26">
        <v>2</v>
      </c>
      <c r="AI26" t="s">
        <v>54</v>
      </c>
      <c r="AJ26">
        <v>64</v>
      </c>
    </row>
    <row r="27" spans="1:39" x14ac:dyDescent="0.3">
      <c r="A27">
        <v>11</v>
      </c>
      <c r="B27" t="s">
        <v>124</v>
      </c>
      <c r="D27" s="1">
        <v>42</v>
      </c>
      <c r="E27" s="1"/>
      <c r="H27" s="5">
        <f t="shared" si="2"/>
        <v>42</v>
      </c>
      <c r="J27" s="4">
        <v>3</v>
      </c>
      <c r="K27"/>
      <c r="L27" s="8" t="s">
        <v>107</v>
      </c>
      <c r="M27" s="6">
        <f>+H12</f>
        <v>55</v>
      </c>
      <c r="N27" s="7"/>
      <c r="AH27" t="s">
        <v>1</v>
      </c>
      <c r="AJ27" s="1" t="s">
        <v>39</v>
      </c>
      <c r="AK27" s="1"/>
      <c r="AL27" s="1" t="s">
        <v>38</v>
      </c>
      <c r="AM27" s="1" t="s">
        <v>45</v>
      </c>
    </row>
    <row r="28" spans="1:39" x14ac:dyDescent="0.3">
      <c r="A28">
        <v>12</v>
      </c>
      <c r="B28" t="s">
        <v>125</v>
      </c>
      <c r="D28" s="1">
        <v>41</v>
      </c>
      <c r="E28" s="1"/>
      <c r="H28" s="5">
        <f t="shared" si="2"/>
        <v>41</v>
      </c>
      <c r="J28" s="4">
        <v>4</v>
      </c>
      <c r="K28"/>
      <c r="L28" s="8" t="s">
        <v>98</v>
      </c>
      <c r="M28" s="6">
        <f>(+H9+H18)/2</f>
        <v>53.5</v>
      </c>
      <c r="N28" s="7"/>
      <c r="X28">
        <v>4</v>
      </c>
      <c r="Y28" t="s">
        <v>20</v>
      </c>
      <c r="AA28">
        <v>55</v>
      </c>
      <c r="AB28">
        <v>48</v>
      </c>
      <c r="AC28">
        <v>52</v>
      </c>
      <c r="AD28">
        <v>52</v>
      </c>
      <c r="AE28">
        <f t="shared" si="3"/>
        <v>51.75</v>
      </c>
      <c r="AH28">
        <v>3</v>
      </c>
      <c r="AI28" t="s">
        <v>55</v>
      </c>
      <c r="AJ28">
        <v>59</v>
      </c>
    </row>
    <row r="29" spans="1:39" x14ac:dyDescent="0.3">
      <c r="A29">
        <v>12</v>
      </c>
      <c r="B29" t="s">
        <v>126</v>
      </c>
      <c r="D29" s="1">
        <v>41</v>
      </c>
      <c r="E29" s="1"/>
      <c r="H29" s="5">
        <f t="shared" si="2"/>
        <v>41</v>
      </c>
      <c r="J29" s="4">
        <v>5</v>
      </c>
      <c r="K29"/>
      <c r="L29" s="13" t="s">
        <v>109</v>
      </c>
      <c r="M29" s="6">
        <f>+H40</f>
        <v>35</v>
      </c>
      <c r="N29" s="7"/>
      <c r="X29">
        <v>5</v>
      </c>
      <c r="Y29" t="s">
        <v>28</v>
      </c>
      <c r="AA29">
        <v>50</v>
      </c>
      <c r="AB29">
        <v>50</v>
      </c>
      <c r="AC29">
        <v>46</v>
      </c>
      <c r="AD29">
        <v>46</v>
      </c>
      <c r="AE29">
        <f t="shared" si="3"/>
        <v>48</v>
      </c>
      <c r="AH29">
        <v>3</v>
      </c>
      <c r="AI29" t="s">
        <v>56</v>
      </c>
      <c r="AJ29">
        <v>59</v>
      </c>
    </row>
    <row r="30" spans="1:39" x14ac:dyDescent="0.3">
      <c r="A30">
        <v>13</v>
      </c>
      <c r="B30" t="s">
        <v>128</v>
      </c>
      <c r="D30" s="1">
        <v>40</v>
      </c>
      <c r="E30" s="1"/>
      <c r="H30" s="5">
        <f t="shared" si="2"/>
        <v>40</v>
      </c>
      <c r="J30" s="4">
        <v>6</v>
      </c>
      <c r="K30"/>
      <c r="L30" s="8" t="s">
        <v>106</v>
      </c>
      <c r="M30" s="6">
        <f>(+H88+H46)/2</f>
        <v>16</v>
      </c>
      <c r="N30"/>
      <c r="X30">
        <v>6</v>
      </c>
      <c r="Y30" t="s">
        <v>22</v>
      </c>
      <c r="AA30">
        <v>43</v>
      </c>
      <c r="AB30">
        <v>43</v>
      </c>
      <c r="AC30">
        <v>70</v>
      </c>
      <c r="AD30">
        <v>70</v>
      </c>
      <c r="AE30">
        <f t="shared" si="3"/>
        <v>56.5</v>
      </c>
      <c r="AH30">
        <v>4</v>
      </c>
      <c r="AI30" t="s">
        <v>57</v>
      </c>
      <c r="AJ30">
        <v>55</v>
      </c>
    </row>
    <row r="31" spans="1:39" x14ac:dyDescent="0.3">
      <c r="A31">
        <v>13</v>
      </c>
      <c r="B31" t="s">
        <v>127</v>
      </c>
      <c r="D31" s="1">
        <v>40</v>
      </c>
      <c r="E31" s="1"/>
      <c r="H31" s="5">
        <f t="shared" si="2"/>
        <v>40</v>
      </c>
      <c r="J31" s="4">
        <v>7</v>
      </c>
      <c r="K31"/>
      <c r="L31" s="8" t="s">
        <v>101</v>
      </c>
      <c r="M31" s="6">
        <f>+H53/2</f>
        <v>0</v>
      </c>
      <c r="N31"/>
      <c r="X31">
        <v>7</v>
      </c>
      <c r="Y31" t="s">
        <v>21</v>
      </c>
      <c r="AA31">
        <v>48</v>
      </c>
      <c r="AB31">
        <v>44</v>
      </c>
      <c r="AC31">
        <v>48</v>
      </c>
      <c r="AD31">
        <v>48</v>
      </c>
      <c r="AE31">
        <f t="shared" si="3"/>
        <v>47</v>
      </c>
      <c r="AH31">
        <v>4</v>
      </c>
      <c r="AI31" t="s">
        <v>58</v>
      </c>
      <c r="AJ31">
        <v>55</v>
      </c>
    </row>
    <row r="32" spans="1:39" x14ac:dyDescent="0.3">
      <c r="A32">
        <v>14</v>
      </c>
      <c r="B32" t="s">
        <v>129</v>
      </c>
      <c r="D32" s="1">
        <v>39</v>
      </c>
      <c r="H32" s="5">
        <f t="shared" si="2"/>
        <v>39</v>
      </c>
      <c r="J32" s="4">
        <v>8</v>
      </c>
      <c r="K32"/>
      <c r="L32" s="8" t="s">
        <v>108</v>
      </c>
      <c r="M32" s="6">
        <v>0</v>
      </c>
      <c r="N32"/>
      <c r="X32">
        <v>8</v>
      </c>
      <c r="Y32" t="s">
        <v>24</v>
      </c>
      <c r="AA32">
        <v>42</v>
      </c>
      <c r="AB32">
        <v>42</v>
      </c>
      <c r="AC32">
        <v>39</v>
      </c>
      <c r="AD32">
        <v>39</v>
      </c>
      <c r="AE32">
        <f t="shared" si="3"/>
        <v>40.5</v>
      </c>
      <c r="AH32">
        <v>5</v>
      </c>
      <c r="AI32" t="s">
        <v>59</v>
      </c>
      <c r="AJ32">
        <v>52</v>
      </c>
    </row>
    <row r="33" spans="1:44" x14ac:dyDescent="0.3">
      <c r="A33">
        <v>14</v>
      </c>
      <c r="B33" t="s">
        <v>130</v>
      </c>
      <c r="D33" s="1">
        <v>39</v>
      </c>
      <c r="H33" s="5">
        <f t="shared" si="2"/>
        <v>39</v>
      </c>
      <c r="J33" s="4">
        <v>9</v>
      </c>
      <c r="N33"/>
      <c r="AH33">
        <v>5</v>
      </c>
      <c r="AI33" t="s">
        <v>60</v>
      </c>
      <c r="AJ33">
        <v>52</v>
      </c>
    </row>
    <row r="34" spans="1:44" x14ac:dyDescent="0.3">
      <c r="A34">
        <v>15</v>
      </c>
      <c r="B34" t="s">
        <v>132</v>
      </c>
      <c r="D34" s="1">
        <v>38</v>
      </c>
      <c r="H34" s="5">
        <f t="shared" si="2"/>
        <v>38</v>
      </c>
      <c r="J34" s="4">
        <v>10</v>
      </c>
      <c r="N34"/>
      <c r="Y34" t="s">
        <v>83</v>
      </c>
      <c r="AH34">
        <v>6</v>
      </c>
      <c r="AI34" t="s">
        <v>61</v>
      </c>
      <c r="AJ34">
        <v>50</v>
      </c>
      <c r="AO34">
        <v>8</v>
      </c>
      <c r="AP34" t="s">
        <v>66</v>
      </c>
      <c r="AQ34">
        <v>46</v>
      </c>
      <c r="AR34" s="1"/>
    </row>
    <row r="35" spans="1:44" x14ac:dyDescent="0.3">
      <c r="A35">
        <v>15</v>
      </c>
      <c r="B35" t="s">
        <v>131</v>
      </c>
      <c r="D35" s="1">
        <v>38</v>
      </c>
      <c r="H35" s="5">
        <f t="shared" si="2"/>
        <v>38</v>
      </c>
      <c r="V35"/>
      <c r="W35"/>
      <c r="AF35">
        <v>6</v>
      </c>
      <c r="AG35" t="s">
        <v>62</v>
      </c>
      <c r="AH35">
        <v>50</v>
      </c>
      <c r="AJ35" s="1"/>
      <c r="AL35"/>
      <c r="AM35">
        <v>8</v>
      </c>
      <c r="AN35" t="s">
        <v>67</v>
      </c>
      <c r="AO35">
        <v>46</v>
      </c>
      <c r="AP35" s="1"/>
    </row>
    <row r="36" spans="1:44" x14ac:dyDescent="0.3">
      <c r="A36">
        <v>16</v>
      </c>
      <c r="B36" t="s">
        <v>133</v>
      </c>
      <c r="D36" s="1">
        <v>37</v>
      </c>
      <c r="E36" s="1"/>
      <c r="H36" s="5">
        <f t="shared" si="2"/>
        <v>37</v>
      </c>
      <c r="L36" s="9" t="s">
        <v>92</v>
      </c>
      <c r="V36"/>
      <c r="W36"/>
      <c r="AF36">
        <v>6</v>
      </c>
      <c r="AG36" t="s">
        <v>63</v>
      </c>
      <c r="AH36">
        <v>50</v>
      </c>
      <c r="AJ36" s="1"/>
      <c r="AL36"/>
      <c r="AM36">
        <v>9</v>
      </c>
      <c r="AN36" t="s">
        <v>68</v>
      </c>
      <c r="AO36">
        <v>44</v>
      </c>
      <c r="AP36" s="1"/>
    </row>
    <row r="37" spans="1:44" x14ac:dyDescent="0.3">
      <c r="A37">
        <v>16</v>
      </c>
      <c r="B37" t="s">
        <v>134</v>
      </c>
      <c r="D37" s="1">
        <v>37</v>
      </c>
      <c r="H37" s="5">
        <f t="shared" si="2"/>
        <v>37</v>
      </c>
      <c r="V37"/>
      <c r="W37"/>
      <c r="AF37">
        <v>7</v>
      </c>
      <c r="AG37" t="s">
        <v>64</v>
      </c>
      <c r="AH37">
        <v>48</v>
      </c>
      <c r="AJ37" s="1"/>
      <c r="AL37"/>
      <c r="AM37">
        <v>9</v>
      </c>
      <c r="AN37" t="s">
        <v>69</v>
      </c>
      <c r="AO37">
        <v>44</v>
      </c>
      <c r="AP37" s="1"/>
    </row>
    <row r="38" spans="1:44" x14ac:dyDescent="0.3">
      <c r="A38">
        <v>17</v>
      </c>
      <c r="B38" t="s">
        <v>135</v>
      </c>
      <c r="D38" s="1">
        <v>36</v>
      </c>
      <c r="H38" s="5">
        <f t="shared" si="2"/>
        <v>36</v>
      </c>
      <c r="AH38">
        <v>7</v>
      </c>
      <c r="AI38" t="s">
        <v>65</v>
      </c>
      <c r="AJ38">
        <v>48</v>
      </c>
      <c r="AO38">
        <v>10</v>
      </c>
      <c r="AP38" t="s">
        <v>70</v>
      </c>
      <c r="AQ38">
        <v>43</v>
      </c>
      <c r="AR38" s="1"/>
    </row>
    <row r="39" spans="1:44" x14ac:dyDescent="0.3">
      <c r="A39">
        <v>17</v>
      </c>
      <c r="B39" t="s">
        <v>136</v>
      </c>
      <c r="D39" s="1">
        <v>36</v>
      </c>
      <c r="H39" s="5">
        <f t="shared" si="2"/>
        <v>36</v>
      </c>
      <c r="J39" s="4">
        <v>1</v>
      </c>
      <c r="K39"/>
      <c r="L39" s="8" t="s">
        <v>114</v>
      </c>
      <c r="M39" s="6">
        <f>(+H22+H25)/2</f>
        <v>43.5</v>
      </c>
      <c r="AL39"/>
      <c r="AO39">
        <v>10</v>
      </c>
      <c r="AP39" t="s">
        <v>71</v>
      </c>
      <c r="AQ39">
        <v>43</v>
      </c>
      <c r="AR39" s="1"/>
    </row>
    <row r="40" spans="1:44" x14ac:dyDescent="0.3">
      <c r="A40">
        <v>18</v>
      </c>
      <c r="B40" t="s">
        <v>15</v>
      </c>
      <c r="D40" s="1">
        <v>35</v>
      </c>
      <c r="H40" s="5">
        <f t="shared" si="2"/>
        <v>35</v>
      </c>
      <c r="J40" s="4">
        <v>2</v>
      </c>
      <c r="K40"/>
      <c r="L40" s="8" t="s">
        <v>104</v>
      </c>
      <c r="M40" s="6">
        <v>178</v>
      </c>
      <c r="AL40"/>
      <c r="AR40" s="1"/>
    </row>
    <row r="41" spans="1:44" x14ac:dyDescent="0.3">
      <c r="A41">
        <v>18</v>
      </c>
      <c r="B41" t="s">
        <v>16</v>
      </c>
      <c r="D41" s="1">
        <v>35</v>
      </c>
      <c r="E41" s="1"/>
      <c r="H41" s="5">
        <f t="shared" si="2"/>
        <v>35</v>
      </c>
      <c r="J41" s="4">
        <v>3</v>
      </c>
      <c r="K41"/>
      <c r="L41" s="8" t="s">
        <v>93</v>
      </c>
      <c r="M41" s="6">
        <v>0</v>
      </c>
      <c r="AL41"/>
      <c r="AR41" s="1"/>
    </row>
    <row r="42" spans="1:44" x14ac:dyDescent="0.3">
      <c r="A42">
        <v>19</v>
      </c>
      <c r="B42" t="s">
        <v>137</v>
      </c>
      <c r="D42" s="1">
        <v>34</v>
      </c>
      <c r="E42" s="1"/>
      <c r="H42" s="5">
        <f t="shared" si="2"/>
        <v>34</v>
      </c>
      <c r="J42" s="4">
        <v>4</v>
      </c>
      <c r="K42"/>
      <c r="L42" s="8" t="s">
        <v>94</v>
      </c>
      <c r="M42" s="6">
        <v>0</v>
      </c>
      <c r="AL42"/>
    </row>
    <row r="43" spans="1:44" x14ac:dyDescent="0.3">
      <c r="A43">
        <v>19</v>
      </c>
      <c r="B43" t="s">
        <v>138</v>
      </c>
      <c r="D43" s="1">
        <v>34</v>
      </c>
      <c r="E43" s="1"/>
      <c r="H43" s="5">
        <f t="shared" si="2"/>
        <v>34</v>
      </c>
      <c r="J43" s="4">
        <v>5</v>
      </c>
      <c r="K43"/>
      <c r="L43" s="8" t="s">
        <v>95</v>
      </c>
      <c r="M43" s="6">
        <v>0</v>
      </c>
      <c r="X43" s="4"/>
      <c r="Y43" s="4"/>
      <c r="Z43" s="4"/>
      <c r="AA43" s="4"/>
      <c r="AB43" s="4"/>
      <c r="AC43" s="4"/>
      <c r="AD43" s="4"/>
      <c r="AE43" s="4"/>
      <c r="AL43"/>
    </row>
    <row r="44" spans="1:44" x14ac:dyDescent="0.3">
      <c r="A44">
        <v>20</v>
      </c>
      <c r="B44" t="s">
        <v>139</v>
      </c>
      <c r="D44" s="1">
        <v>33</v>
      </c>
      <c r="H44" s="5">
        <f t="shared" si="2"/>
        <v>33</v>
      </c>
      <c r="J44" s="4">
        <v>6</v>
      </c>
      <c r="K44"/>
      <c r="L44" s="8" t="s">
        <v>96</v>
      </c>
      <c r="M44" s="6">
        <v>0</v>
      </c>
      <c r="X44" s="4"/>
      <c r="Y44" s="4"/>
      <c r="Z44" s="4"/>
      <c r="AA44" s="4"/>
      <c r="AB44" s="4"/>
      <c r="AC44" s="4"/>
      <c r="AD44" s="4"/>
      <c r="AE44" s="4"/>
      <c r="AL44"/>
    </row>
    <row r="45" spans="1:44" x14ac:dyDescent="0.3">
      <c r="A45">
        <v>20</v>
      </c>
      <c r="B45" t="s">
        <v>140</v>
      </c>
      <c r="D45" s="1">
        <v>33</v>
      </c>
      <c r="H45" s="5">
        <f t="shared" si="2"/>
        <v>33</v>
      </c>
      <c r="J45" s="4">
        <v>7</v>
      </c>
      <c r="K45"/>
      <c r="L45" s="8" t="s">
        <v>97</v>
      </c>
      <c r="M45" s="6">
        <v>0</v>
      </c>
      <c r="X45" s="4"/>
      <c r="Y45" s="4"/>
      <c r="Z45" s="4"/>
      <c r="AA45" s="4"/>
      <c r="AB45" s="4"/>
      <c r="AC45" s="4"/>
      <c r="AD45" s="4"/>
      <c r="AE45" s="4"/>
      <c r="AL45"/>
    </row>
    <row r="46" spans="1:44" x14ac:dyDescent="0.3">
      <c r="A46">
        <v>21</v>
      </c>
      <c r="B46" t="s">
        <v>141</v>
      </c>
      <c r="D46" s="1">
        <v>32</v>
      </c>
      <c r="E46" s="1"/>
      <c r="H46" s="5">
        <f t="shared" si="1"/>
        <v>32</v>
      </c>
      <c r="J46" s="4">
        <v>8</v>
      </c>
      <c r="K46"/>
      <c r="L46" s="8" t="s">
        <v>111</v>
      </c>
      <c r="M46" s="6">
        <v>0</v>
      </c>
      <c r="X46" s="4"/>
      <c r="Y46" s="4"/>
      <c r="Z46" s="4"/>
      <c r="AA46" s="4"/>
      <c r="AB46" s="4"/>
      <c r="AC46" s="4"/>
      <c r="AD46" s="4"/>
      <c r="AE46" s="4"/>
      <c r="AL46"/>
    </row>
    <row r="47" spans="1:44" x14ac:dyDescent="0.3">
      <c r="A47">
        <v>21</v>
      </c>
      <c r="B47" t="s">
        <v>142</v>
      </c>
      <c r="D47" s="1">
        <v>32</v>
      </c>
      <c r="H47" s="5">
        <f t="shared" ref="H47:H49" si="4">SUM(D47:G47)</f>
        <v>32</v>
      </c>
      <c r="J47" s="4">
        <v>9</v>
      </c>
      <c r="L47" s="8"/>
      <c r="M47" s="6"/>
      <c r="X47" s="4"/>
      <c r="Y47" s="4"/>
      <c r="Z47" s="4"/>
      <c r="AA47" s="4"/>
      <c r="AB47" s="4"/>
      <c r="AC47" s="4"/>
      <c r="AD47" s="4"/>
      <c r="AE47" s="4"/>
      <c r="AH47">
        <v>11</v>
      </c>
      <c r="AI47" t="s">
        <v>72</v>
      </c>
      <c r="AJ47">
        <v>42</v>
      </c>
    </row>
    <row r="48" spans="1:44" x14ac:dyDescent="0.3">
      <c r="D48" s="1"/>
      <c r="E48" s="1"/>
      <c r="J48" s="4">
        <v>10</v>
      </c>
      <c r="L48" s="8"/>
      <c r="M48" s="6"/>
      <c r="X48" s="4"/>
      <c r="Y48" s="4"/>
      <c r="Z48" s="4"/>
      <c r="AA48" s="4"/>
      <c r="AB48" s="4"/>
      <c r="AC48" s="4"/>
      <c r="AD48" s="4"/>
      <c r="AE48" s="4"/>
      <c r="AH48">
        <v>11</v>
      </c>
      <c r="AI48" t="s">
        <v>73</v>
      </c>
      <c r="AJ48">
        <v>42</v>
      </c>
    </row>
    <row r="49" spans="4:36" x14ac:dyDescent="0.3">
      <c r="D49" s="1"/>
      <c r="E49" s="1"/>
      <c r="X49" s="4"/>
      <c r="Y49" s="4"/>
      <c r="Z49" s="4"/>
      <c r="AA49" s="4"/>
      <c r="AB49" s="4"/>
      <c r="AC49" s="4"/>
      <c r="AD49" s="4"/>
      <c r="AE49" s="4"/>
      <c r="AH49">
        <v>12</v>
      </c>
      <c r="AI49" t="s">
        <v>74</v>
      </c>
      <c r="AJ49">
        <v>41</v>
      </c>
    </row>
    <row r="50" spans="4:36" x14ac:dyDescent="0.3">
      <c r="X50" s="4"/>
      <c r="Y50" s="4"/>
      <c r="Z50" s="4"/>
      <c r="AA50" s="4"/>
      <c r="AB50" s="4"/>
      <c r="AC50" s="4"/>
      <c r="AD50" s="4"/>
      <c r="AE50" s="4"/>
      <c r="AH50">
        <v>12</v>
      </c>
      <c r="AJ50">
        <v>41</v>
      </c>
    </row>
    <row r="51" spans="4:36" x14ac:dyDescent="0.3">
      <c r="Z51">
        <v>1</v>
      </c>
      <c r="AB51">
        <v>70</v>
      </c>
      <c r="AE51">
        <f>+AB51*2</f>
        <v>140</v>
      </c>
      <c r="AH51">
        <v>12</v>
      </c>
      <c r="AJ51">
        <v>41</v>
      </c>
    </row>
    <row r="52" spans="4:36" x14ac:dyDescent="0.3">
      <c r="Z52">
        <v>2</v>
      </c>
      <c r="AB52">
        <v>64</v>
      </c>
      <c r="AE52">
        <f t="shared" ref="AE52:AE63" si="5">+AB52*2</f>
        <v>128</v>
      </c>
      <c r="AH52">
        <v>13</v>
      </c>
      <c r="AI52" t="s">
        <v>75</v>
      </c>
      <c r="AJ52">
        <v>40</v>
      </c>
    </row>
    <row r="53" spans="4:36" x14ac:dyDescent="0.3">
      <c r="Z53">
        <v>3</v>
      </c>
      <c r="AB53">
        <v>59</v>
      </c>
      <c r="AE53">
        <f t="shared" si="5"/>
        <v>118</v>
      </c>
      <c r="AI53" t="s">
        <v>77</v>
      </c>
      <c r="AJ53">
        <v>40</v>
      </c>
    </row>
    <row r="54" spans="4:36" x14ac:dyDescent="0.3">
      <c r="Z54">
        <v>4</v>
      </c>
      <c r="AB54">
        <v>55</v>
      </c>
      <c r="AE54">
        <f t="shared" si="5"/>
        <v>110</v>
      </c>
      <c r="AH54">
        <v>14</v>
      </c>
      <c r="AI54" t="s">
        <v>76</v>
      </c>
      <c r="AJ54">
        <v>39</v>
      </c>
    </row>
    <row r="55" spans="4:36" x14ac:dyDescent="0.3">
      <c r="D55" s="1"/>
      <c r="E55" s="1"/>
      <c r="Z55">
        <v>5</v>
      </c>
      <c r="AB55">
        <v>52</v>
      </c>
      <c r="AE55">
        <f t="shared" si="5"/>
        <v>104</v>
      </c>
      <c r="AH55">
        <v>14</v>
      </c>
      <c r="AI55" t="s">
        <v>66</v>
      </c>
      <c r="AJ55">
        <v>39</v>
      </c>
    </row>
    <row r="56" spans="4:36" x14ac:dyDescent="0.3">
      <c r="D56" s="1"/>
      <c r="E56" s="1"/>
      <c r="Z56">
        <v>6</v>
      </c>
      <c r="AB56">
        <v>50</v>
      </c>
      <c r="AE56">
        <f t="shared" si="5"/>
        <v>100</v>
      </c>
    </row>
    <row r="57" spans="4:36" x14ac:dyDescent="0.3">
      <c r="Z57">
        <v>7</v>
      </c>
      <c r="AB57">
        <v>48</v>
      </c>
      <c r="AE57">
        <f t="shared" si="5"/>
        <v>96</v>
      </c>
    </row>
    <row r="58" spans="4:36" x14ac:dyDescent="0.3">
      <c r="Z58">
        <v>8</v>
      </c>
      <c r="AB58">
        <v>46</v>
      </c>
      <c r="AE58">
        <f t="shared" si="5"/>
        <v>92</v>
      </c>
    </row>
    <row r="59" spans="4:36" x14ac:dyDescent="0.3">
      <c r="Z59">
        <v>9</v>
      </c>
      <c r="AB59">
        <v>44</v>
      </c>
      <c r="AE59">
        <f t="shared" si="5"/>
        <v>88</v>
      </c>
    </row>
    <row r="60" spans="4:36" x14ac:dyDescent="0.3">
      <c r="Z60">
        <v>10</v>
      </c>
      <c r="AB60">
        <v>43</v>
      </c>
      <c r="AE60">
        <f t="shared" si="5"/>
        <v>86</v>
      </c>
    </row>
    <row r="61" spans="4:36" x14ac:dyDescent="0.3">
      <c r="Z61">
        <v>11</v>
      </c>
      <c r="AB61">
        <v>42</v>
      </c>
      <c r="AE61">
        <f t="shared" si="5"/>
        <v>84</v>
      </c>
    </row>
    <row r="62" spans="4:36" x14ac:dyDescent="0.3">
      <c r="Z62">
        <v>12</v>
      </c>
      <c r="AB62">
        <v>41</v>
      </c>
      <c r="AE62">
        <f t="shared" si="5"/>
        <v>82</v>
      </c>
    </row>
    <row r="63" spans="4:36" x14ac:dyDescent="0.3">
      <c r="Z63">
        <v>13</v>
      </c>
      <c r="AB63">
        <v>40</v>
      </c>
      <c r="AE63">
        <f t="shared" si="5"/>
        <v>80</v>
      </c>
    </row>
    <row r="64" spans="4:36" x14ac:dyDescent="0.3">
      <c r="Z64">
        <v>14</v>
      </c>
      <c r="AB64">
        <v>39</v>
      </c>
    </row>
    <row r="65" spans="26:28" x14ac:dyDescent="0.3">
      <c r="Z65">
        <v>15</v>
      </c>
      <c r="AB65">
        <v>38</v>
      </c>
    </row>
    <row r="109" spans="4:5" x14ac:dyDescent="0.3">
      <c r="D109" s="1"/>
      <c r="E109" s="1"/>
    </row>
    <row r="110" spans="4:5" x14ac:dyDescent="0.3">
      <c r="D110" s="1"/>
      <c r="E110" s="1"/>
    </row>
    <row r="111" spans="4:5" x14ac:dyDescent="0.3">
      <c r="D111" s="1"/>
      <c r="E111" s="1"/>
    </row>
    <row r="114" spans="4:5" x14ac:dyDescent="0.3">
      <c r="D114" s="1"/>
      <c r="E11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2018-09-03T11:34:26Z</dcterms:created>
  <dcterms:modified xsi:type="dcterms:W3CDTF">2019-08-25T21:39:03Z</dcterms:modified>
</cp:coreProperties>
</file>
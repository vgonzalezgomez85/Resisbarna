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05" windowWidth="8115" windowHeight="7740" activeTab="1"/>
  </bookViews>
  <sheets>
    <sheet name="Resultados" sheetId="1" r:id="rId1"/>
    <sheet name="Gráficos" sheetId="2" r:id="rId2"/>
    <sheet name="Hoja3" sheetId="3" r:id="rId3"/>
  </sheets>
  <definedNames>
    <definedName name="_xlnm.Print_Area" localSheetId="1">Gráficos!$AL$2:$BC$88</definedName>
  </definedNames>
  <calcPr calcId="145621"/>
</workbook>
</file>

<file path=xl/calcChain.xml><?xml version="1.0" encoding="utf-8"?>
<calcChain xmlns="http://schemas.openxmlformats.org/spreadsheetml/2006/main">
  <c r="BW80" i="1" l="1"/>
  <c r="BV72" i="1" s="1"/>
  <c r="E38" i="1"/>
  <c r="E73" i="1"/>
  <c r="E71" i="1"/>
  <c r="AU5" i="1"/>
  <c r="BW21" i="1"/>
  <c r="BV55" i="1"/>
  <c r="BV63" i="1" s="1"/>
  <c r="BV66" i="1" s="1"/>
  <c r="BV56" i="1"/>
  <c r="BV57" i="1"/>
  <c r="BV58" i="1"/>
  <c r="BV59" i="1"/>
  <c r="BV60" i="1"/>
  <c r="BV61" i="1"/>
  <c r="BV62" i="1"/>
  <c r="BV54" i="1"/>
  <c r="BV22" i="1"/>
  <c r="BV23" i="1"/>
  <c r="BV24" i="1"/>
  <c r="BV25" i="1"/>
  <c r="BV21" i="1"/>
  <c r="BV6" i="1"/>
  <c r="BV7" i="1"/>
  <c r="BV8" i="1"/>
  <c r="BV9" i="1"/>
  <c r="BV5" i="1"/>
  <c r="BH72" i="1"/>
  <c r="BH73" i="1"/>
  <c r="BH74" i="1"/>
  <c r="BH75" i="1"/>
  <c r="BH71" i="1"/>
  <c r="BH55" i="1"/>
  <c r="BH56" i="1"/>
  <c r="BH57" i="1"/>
  <c r="BH58" i="1"/>
  <c r="BH54" i="1"/>
  <c r="S6" i="1"/>
  <c r="S10" i="1" s="1"/>
  <c r="S38" i="1"/>
  <c r="BI55" i="1"/>
  <c r="AU56" i="1"/>
  <c r="AT56" i="1" s="1"/>
  <c r="AG21" i="1"/>
  <c r="AF21" i="1" s="1"/>
  <c r="S23" i="1"/>
  <c r="BH38" i="1"/>
  <c r="BH39" i="1"/>
  <c r="BH42" i="1" s="1"/>
  <c r="BH45" i="1" s="1"/>
  <c r="BH40" i="1"/>
  <c r="BH41" i="1"/>
  <c r="BI23" i="1"/>
  <c r="AU24" i="1"/>
  <c r="AG56" i="1"/>
  <c r="AG37" i="1"/>
  <c r="BV38" i="1"/>
  <c r="BV39" i="1"/>
  <c r="BV42" i="1" s="1"/>
  <c r="BV45" i="1" s="1"/>
  <c r="BV40" i="1"/>
  <c r="BV41" i="1"/>
  <c r="S24" i="1"/>
  <c r="BH37" i="1"/>
  <c r="BI74" i="1"/>
  <c r="BI76" i="1" s="1"/>
  <c r="AU73" i="1"/>
  <c r="AT73" i="1" s="1"/>
  <c r="AT76" i="1" s="1"/>
  <c r="AT79" i="1" s="1"/>
  <c r="AU55" i="1"/>
  <c r="AG24" i="1"/>
  <c r="AF24" i="1" s="1"/>
  <c r="S40" i="1"/>
  <c r="S22" i="1"/>
  <c r="BV37" i="1"/>
  <c r="E22" i="1"/>
  <c r="D22" i="1" s="1"/>
  <c r="BH22" i="1"/>
  <c r="BH23" i="1"/>
  <c r="BH24" i="1"/>
  <c r="BH25" i="1"/>
  <c r="BH21" i="1"/>
  <c r="AU58" i="1"/>
  <c r="AT58" i="1" s="1"/>
  <c r="AU40" i="1"/>
  <c r="AU21" i="1"/>
  <c r="AG22" i="1"/>
  <c r="AF22" i="1" s="1"/>
  <c r="S26" i="1"/>
  <c r="E72" i="1"/>
  <c r="E57" i="1"/>
  <c r="D57" i="1" s="1"/>
  <c r="E39" i="1"/>
  <c r="D39" i="1" s="1"/>
  <c r="BH6" i="1"/>
  <c r="BH7" i="1"/>
  <c r="BH8" i="1"/>
  <c r="BH9" i="1"/>
  <c r="BH5" i="1"/>
  <c r="BH10" i="1" s="1"/>
  <c r="BH13" i="1" s="1"/>
  <c r="BI21" i="1"/>
  <c r="AT72" i="1"/>
  <c r="AT74" i="1"/>
  <c r="AT75" i="1"/>
  <c r="AT71" i="1"/>
  <c r="AT55" i="1"/>
  <c r="AT57" i="1"/>
  <c r="AT54" i="1"/>
  <c r="AT38" i="1"/>
  <c r="AT39" i="1"/>
  <c r="AT40" i="1"/>
  <c r="AT41" i="1"/>
  <c r="AT37" i="1"/>
  <c r="AT22" i="1"/>
  <c r="AT23" i="1"/>
  <c r="AT24" i="1"/>
  <c r="AT25" i="1"/>
  <c r="AT21" i="1"/>
  <c r="AT6" i="1"/>
  <c r="AT7" i="1"/>
  <c r="AT8" i="1"/>
  <c r="AT10" i="1" s="1"/>
  <c r="AT13" i="1" s="1"/>
  <c r="AT9" i="1"/>
  <c r="AT5" i="1"/>
  <c r="AF72" i="1"/>
  <c r="AF73" i="1"/>
  <c r="AF74" i="1"/>
  <c r="AF76" i="1" s="1"/>
  <c r="AF79" i="1" s="1"/>
  <c r="AF75" i="1"/>
  <c r="AF71" i="1"/>
  <c r="AF55" i="1"/>
  <c r="AF56" i="1"/>
  <c r="AF57" i="1"/>
  <c r="AF58" i="1"/>
  <c r="AF54" i="1"/>
  <c r="AF38" i="1"/>
  <c r="AF39" i="1"/>
  <c r="AF40" i="1"/>
  <c r="AF41" i="1"/>
  <c r="AF37" i="1"/>
  <c r="BW38" i="1"/>
  <c r="BI24" i="1"/>
  <c r="E21" i="1"/>
  <c r="D21" i="1" s="1"/>
  <c r="E24" i="1"/>
  <c r="BI7" i="1"/>
  <c r="AG23" i="1"/>
  <c r="AG6" i="1"/>
  <c r="S7" i="1"/>
  <c r="D73" i="1"/>
  <c r="AG38" i="1"/>
  <c r="R38" i="1"/>
  <c r="R24" i="1"/>
  <c r="E23" i="1"/>
  <c r="D23" i="1" s="1"/>
  <c r="AF23" i="1"/>
  <c r="AF25" i="1"/>
  <c r="AF6" i="1"/>
  <c r="AF7" i="1"/>
  <c r="AF8" i="1"/>
  <c r="AF9" i="1"/>
  <c r="AF5" i="1"/>
  <c r="D24" i="1"/>
  <c r="BI22" i="1"/>
  <c r="AU23" i="1"/>
  <c r="S56" i="1"/>
  <c r="S59" i="1" s="1"/>
  <c r="R23" i="1"/>
  <c r="BW56" i="1"/>
  <c r="BW63" i="1" s="1"/>
  <c r="BI5" i="1"/>
  <c r="AU72" i="1"/>
  <c r="AU22" i="1"/>
  <c r="AG42" i="1"/>
  <c r="AG10" i="1"/>
  <c r="S39" i="1"/>
  <c r="E55" i="1"/>
  <c r="E59" i="1" s="1"/>
  <c r="E42" i="1"/>
  <c r="R72" i="1"/>
  <c r="R73" i="1"/>
  <c r="R74" i="1"/>
  <c r="R75" i="1"/>
  <c r="R71" i="1"/>
  <c r="R55" i="1"/>
  <c r="R56" i="1"/>
  <c r="R57" i="1"/>
  <c r="R58" i="1"/>
  <c r="R54" i="1"/>
  <c r="R22" i="1"/>
  <c r="R39" i="1"/>
  <c r="R40" i="1"/>
  <c r="R41" i="1"/>
  <c r="R37" i="1"/>
  <c r="R25" i="1"/>
  <c r="R21" i="1"/>
  <c r="R7" i="1"/>
  <c r="R8" i="1"/>
  <c r="R9" i="1"/>
  <c r="R5" i="1"/>
  <c r="D72" i="1"/>
  <c r="D74" i="1"/>
  <c r="D75" i="1"/>
  <c r="D71" i="1"/>
  <c r="D55" i="1"/>
  <c r="D56" i="1"/>
  <c r="D58" i="1"/>
  <c r="D54" i="1"/>
  <c r="D38" i="1"/>
  <c r="D40" i="1"/>
  <c r="D41" i="1"/>
  <c r="D37" i="1"/>
  <c r="D25" i="1"/>
  <c r="D7" i="1"/>
  <c r="D5" i="1"/>
  <c r="D6" i="1"/>
  <c r="D8" i="1"/>
  <c r="D9" i="1"/>
  <c r="BW42" i="1"/>
  <c r="BW26" i="1"/>
  <c r="BW10" i="1"/>
  <c r="BI59" i="1"/>
  <c r="BI42" i="1"/>
  <c r="BI10" i="1"/>
  <c r="AU76" i="1"/>
  <c r="AU42" i="1"/>
  <c r="AU10" i="1"/>
  <c r="AG76" i="1"/>
  <c r="AG59" i="1"/>
  <c r="S76" i="1"/>
  <c r="E26" i="1"/>
  <c r="E10" i="1"/>
  <c r="BH59" i="1"/>
  <c r="BH62" i="1" s="1"/>
  <c r="AT42" i="1"/>
  <c r="AT45" i="1" s="1"/>
  <c r="BV79" i="1" l="1"/>
  <c r="BV75" i="1"/>
  <c r="BV78" i="1"/>
  <c r="BV74" i="1"/>
  <c r="BV77" i="1"/>
  <c r="BV73" i="1"/>
  <c r="BV71" i="1"/>
  <c r="BV80" i="1" s="1"/>
  <c r="BV83" i="1" s="1"/>
  <c r="BV76" i="1"/>
  <c r="BV26" i="1"/>
  <c r="BV29" i="1" s="1"/>
  <c r="BV10" i="1"/>
  <c r="BV13" i="1" s="1"/>
  <c r="BH76" i="1"/>
  <c r="BH79" i="1" s="1"/>
  <c r="R6" i="1"/>
  <c r="R10" i="1" s="1"/>
  <c r="R13" i="1" s="1"/>
  <c r="S42" i="1"/>
  <c r="AF59" i="1"/>
  <c r="AF62" i="1" s="1"/>
  <c r="AF42" i="1"/>
  <c r="AF45" i="1" s="1"/>
  <c r="AU59" i="1"/>
  <c r="BH26" i="1"/>
  <c r="BH29" i="1" s="1"/>
  <c r="AT59" i="1"/>
  <c r="AT62" i="1" s="1"/>
  <c r="AU26" i="1"/>
  <c r="AT26" i="1"/>
  <c r="AT29" i="1" s="1"/>
  <c r="AG26" i="1"/>
  <c r="AF26" i="1"/>
  <c r="AF29" i="1" s="1"/>
  <c r="BI26" i="1"/>
  <c r="E76" i="1"/>
  <c r="AF10" i="1"/>
  <c r="AF13" i="1" s="1"/>
  <c r="R76" i="1"/>
  <c r="R79" i="1" s="1"/>
  <c r="R59" i="1"/>
  <c r="R62" i="1" s="1"/>
  <c r="R42" i="1"/>
  <c r="R45" i="1" s="1"/>
  <c r="R26" i="1"/>
  <c r="R29" i="1" s="1"/>
  <c r="D76" i="1"/>
  <c r="D79" i="1" s="1"/>
  <c r="D59" i="1"/>
  <c r="D62" i="1" s="1"/>
  <c r="D42" i="1"/>
  <c r="D45" i="1" s="1"/>
  <c r="D26" i="1"/>
  <c r="D29" i="1" s="1"/>
  <c r="D10" i="1"/>
  <c r="D13" i="1" s="1"/>
</calcChain>
</file>

<file path=xl/sharedStrings.xml><?xml version="1.0" encoding="utf-8"?>
<sst xmlns="http://schemas.openxmlformats.org/spreadsheetml/2006/main" count="230" uniqueCount="53">
  <si>
    <t>sí, totalmente, muy bien</t>
  </si>
  <si>
    <t>bastante, bien</t>
  </si>
  <si>
    <t>normal, correcto, aceptable</t>
  </si>
  <si>
    <t>poco, quizás no, dudo, no mucho</t>
  </si>
  <si>
    <t>nada, no</t>
  </si>
  <si>
    <t>comentarios</t>
  </si>
  <si>
    <r>
      <t xml:space="preserve">Q1: </t>
    </r>
    <r>
      <rPr>
        <b/>
        <i/>
        <sz val="12"/>
        <color rgb="FF000000"/>
        <rFont val="Calibri"/>
        <family val="2"/>
        <scheme val="minor"/>
      </rPr>
      <t>¿Estas satisfecho con el Resisbarna 2015?</t>
    </r>
  </si>
  <si>
    <r>
      <t xml:space="preserve">Q2: </t>
    </r>
    <r>
      <rPr>
        <b/>
        <i/>
        <sz val="12"/>
        <color rgb="FF000000"/>
        <rFont val="Calibri"/>
        <family val="2"/>
        <scheme val="minor"/>
      </rPr>
      <t>¿Participarás el año que viene?</t>
    </r>
  </si>
  <si>
    <r>
      <t xml:space="preserve">Q3: </t>
    </r>
    <r>
      <rPr>
        <b/>
        <i/>
        <sz val="12"/>
        <color rgb="FF000000"/>
        <rFont val="Calibri"/>
        <family val="2"/>
        <scheme val="minor"/>
      </rPr>
      <t>¿Dejarías el campeonato tal y como está de cara al año que viene?</t>
    </r>
  </si>
  <si>
    <r>
      <t xml:space="preserve">Q4: </t>
    </r>
    <r>
      <rPr>
        <b/>
        <i/>
        <sz val="12"/>
        <color rgb="FF000000"/>
        <rFont val="Calibri"/>
        <family val="2"/>
        <scheme val="minor"/>
      </rPr>
      <t>¿Te parece correcto el precio de la inscripción de este año?</t>
    </r>
  </si>
  <si>
    <r>
      <t xml:space="preserve">Q5: </t>
    </r>
    <r>
      <rPr>
        <b/>
        <i/>
        <sz val="12"/>
        <color rgb="FF000000"/>
        <rFont val="Calibri"/>
        <family val="2"/>
        <scheme val="minor"/>
      </rPr>
      <t>¿Te parece acertado el "hándicap" para los pilotos más punteros?</t>
    </r>
  </si>
  <si>
    <r>
      <t xml:space="preserve">Q6: </t>
    </r>
    <r>
      <rPr>
        <b/>
        <i/>
        <sz val="12"/>
        <color rgb="FF000000"/>
        <rFont val="Calibri"/>
        <family val="2"/>
        <scheme val="minor"/>
      </rPr>
      <t>¿Te parece asequible, en conjunto, seguir el campeonato?</t>
    </r>
  </si>
  <si>
    <r>
      <t xml:space="preserve">Q7: </t>
    </r>
    <r>
      <rPr>
        <b/>
        <i/>
        <sz val="12"/>
        <color rgb="FF000000"/>
        <rFont val="Calibri"/>
        <family val="2"/>
        <scheme val="minor"/>
      </rPr>
      <t>¿Encuentras correcto el tipo de premios por carrera + copas final de temporada?</t>
    </r>
  </si>
  <si>
    <r>
      <t xml:space="preserve">Q8: </t>
    </r>
    <r>
      <rPr>
        <b/>
        <i/>
        <sz val="12"/>
        <color rgb="FF000000"/>
        <rFont val="Calibri"/>
        <family val="2"/>
        <scheme val="minor"/>
      </rPr>
      <t>Si no hubiera premios por carrera, solo copas al final, ¿estarías de acuerdo?</t>
    </r>
  </si>
  <si>
    <r>
      <t xml:space="preserve">Q9: </t>
    </r>
    <r>
      <rPr>
        <b/>
        <i/>
        <sz val="12"/>
        <color rgb="FF000000"/>
        <rFont val="Calibri"/>
        <family val="2"/>
        <scheme val="minor"/>
      </rPr>
      <t>Respecto a los circuitos, ¿estás satisfecho con las pistas donde se participa?</t>
    </r>
  </si>
  <si>
    <r>
      <t xml:space="preserve">Q10: </t>
    </r>
    <r>
      <rPr>
        <b/>
        <i/>
        <sz val="12"/>
        <color rgb="FF000000"/>
        <rFont val="Calibri"/>
        <family val="2"/>
        <scheme val="minor"/>
      </rPr>
      <t>Respecto a los clubs, ¿estás satisfecho con los locales/tiendas donde se participa?</t>
    </r>
  </si>
  <si>
    <r>
      <t xml:space="preserve">Q12: </t>
    </r>
    <r>
      <rPr>
        <b/>
        <i/>
        <sz val="12"/>
        <color rgb="FF000000"/>
        <rFont val="Calibri"/>
        <family val="2"/>
        <scheme val="minor"/>
      </rPr>
      <t>¿Te gustaria que se realizara alguna prueba especial dentro del campeonato? (nocturna, mayor duración, monomarca, etc.)</t>
    </r>
  </si>
  <si>
    <r>
      <t xml:space="preserve">Q13: </t>
    </r>
    <r>
      <rPr>
        <b/>
        <i/>
        <sz val="12"/>
        <color rgb="FF000000"/>
        <rFont val="Calibri"/>
        <family val="2"/>
        <scheme val="minor"/>
      </rPr>
      <t>¿Crees que existe un buen nivel de pilotaje del Resisbarna?</t>
    </r>
  </si>
  <si>
    <r>
      <t xml:space="preserve">Q14: </t>
    </r>
    <r>
      <rPr>
        <b/>
        <i/>
        <sz val="12"/>
        <color rgb="FF000000"/>
        <rFont val="Calibri"/>
        <family val="2"/>
        <scheme val="minor"/>
      </rPr>
      <t>¿Crees que la Cordinadora tiene en cuenta las opiniones de los participantes?</t>
    </r>
  </si>
  <si>
    <r>
      <t xml:space="preserve">Q15: </t>
    </r>
    <r>
      <rPr>
        <b/>
        <i/>
        <sz val="12"/>
        <color rgb="FF000000"/>
        <rFont val="Calibri"/>
        <family val="2"/>
        <scheme val="minor"/>
      </rPr>
      <t>¿Crees que hay un buen ambiente en las carreras?</t>
    </r>
  </si>
  <si>
    <r>
      <t xml:space="preserve">Q16: </t>
    </r>
    <r>
      <rPr>
        <b/>
        <i/>
        <sz val="12"/>
        <color rgb="FF000000"/>
        <rFont val="Calibri"/>
        <family val="2"/>
        <scheme val="minor"/>
      </rPr>
      <t>¿Estás satisfecho con el trabajo de la Coordinadora en el campeonato?</t>
    </r>
  </si>
  <si>
    <r>
      <t xml:space="preserve">Q17: </t>
    </r>
    <r>
      <rPr>
        <b/>
        <i/>
        <sz val="12"/>
        <color rgb="FF000000"/>
        <rFont val="Calibri"/>
        <family val="2"/>
        <scheme val="minor"/>
      </rPr>
      <t>¿Qué te parecería celebrar mangas los jueves?</t>
    </r>
  </si>
  <si>
    <r>
      <t xml:space="preserve">Q18: </t>
    </r>
    <r>
      <rPr>
        <b/>
        <i/>
        <sz val="12"/>
        <color rgb="FF000000"/>
        <rFont val="Calibri"/>
        <family val="2"/>
        <scheme val="minor"/>
      </rPr>
      <t>¿Qué te parece la cantidad de coches que pueden utilizarse?</t>
    </r>
  </si>
  <si>
    <r>
      <t xml:space="preserve">Q19: </t>
    </r>
    <r>
      <rPr>
        <b/>
        <i/>
        <sz val="12"/>
        <color rgb="FF000000"/>
        <rFont val="Calibri"/>
        <family val="2"/>
        <scheme val="minor"/>
      </rPr>
      <t>¿Estarías de acuerdo en aceptar material de impresión en 3D para el año que viene?</t>
    </r>
  </si>
  <si>
    <r>
      <t xml:space="preserve">Q20: </t>
    </r>
    <r>
      <rPr>
        <b/>
        <i/>
        <sz val="12"/>
        <color rgb="FF000000"/>
        <rFont val="Calibri"/>
        <family val="2"/>
        <scheme val="minor"/>
      </rPr>
      <t>¿Serías partidario de un Resisbarna monomarca o monocategoría?</t>
    </r>
  </si>
  <si>
    <r>
      <t xml:space="preserve">Q21: </t>
    </r>
    <r>
      <rPr>
        <b/>
        <i/>
        <sz val="12"/>
        <color rgb="FF000000"/>
        <rFont val="Calibri"/>
        <family val="2"/>
        <scheme val="minor"/>
      </rPr>
      <t>¿Te parecen acertadas las copas monomarca/promoción de este año?</t>
    </r>
  </si>
  <si>
    <r>
      <t xml:space="preserve">Q22: </t>
    </r>
    <r>
      <rPr>
        <b/>
        <i/>
        <sz val="12"/>
        <color rgb="FF000000"/>
        <rFont val="Calibri"/>
        <family val="2"/>
        <scheme val="minor"/>
      </rPr>
      <t>¿Estás de acuerdo con el tipo de entrenamientos de este año?</t>
    </r>
  </si>
  <si>
    <r>
      <t xml:space="preserve">Q23: </t>
    </r>
    <r>
      <rPr>
        <b/>
        <i/>
        <sz val="12"/>
        <color rgb="FF000000"/>
        <rFont val="Calibri"/>
        <family val="2"/>
        <scheme val="minor"/>
      </rPr>
      <t>¿Te parece bien celebrar nueve pruebas por temporada?</t>
    </r>
  </si>
  <si>
    <r>
      <t xml:space="preserve">Q24: </t>
    </r>
    <r>
      <rPr>
        <b/>
        <i/>
        <sz val="12"/>
        <color rgb="FF000000"/>
        <rFont val="Calibri"/>
        <family val="2"/>
        <scheme val="minor"/>
      </rPr>
      <t>¿Te parecen correctas las verificaciones que se realizan?</t>
    </r>
  </si>
  <si>
    <r>
      <t xml:space="preserve">Q25: </t>
    </r>
    <r>
      <rPr>
        <b/>
        <i/>
        <sz val="12"/>
        <color rgb="FF000000"/>
        <rFont val="Calibri"/>
        <family val="2"/>
        <scheme val="minor"/>
      </rPr>
      <t>¿Te parece bien correr 15 minutos por pista?</t>
    </r>
  </si>
  <si>
    <r>
      <t xml:space="preserve">Q26: </t>
    </r>
    <r>
      <rPr>
        <b/>
        <i/>
        <sz val="12"/>
        <color rgb="FF000000"/>
        <rFont val="Calibri"/>
        <family val="2"/>
        <scheme val="minor"/>
      </rPr>
      <t>¿Consideras el Resisbarna un campeonato accesible a nivel técnico?</t>
    </r>
  </si>
  <si>
    <r>
      <t xml:space="preserve">Q27: </t>
    </r>
    <r>
      <rPr>
        <b/>
        <i/>
        <sz val="12"/>
        <color rgb="FF000000"/>
        <rFont val="Calibri"/>
        <family val="2"/>
        <scheme val="minor"/>
      </rPr>
      <t>¿Estás satisfecho con el motor que se utiliza?</t>
    </r>
  </si>
  <si>
    <r>
      <t xml:space="preserve">Q28: </t>
    </r>
    <r>
      <rPr>
        <b/>
        <i/>
        <sz val="12"/>
        <color rgb="FF000000"/>
        <rFont val="Calibri"/>
        <family val="2"/>
        <scheme val="minor"/>
      </rPr>
      <t>¿Preferirías un campeonato abierto a todas las marcas?</t>
    </r>
  </si>
  <si>
    <t>Hot Slot</t>
  </si>
  <si>
    <t>Gas Clavat</t>
  </si>
  <si>
    <t>SiscuSlot</t>
  </si>
  <si>
    <t>Dream Slot</t>
  </si>
  <si>
    <t>BSR</t>
  </si>
  <si>
    <t>Crono</t>
  </si>
  <si>
    <t>Slot4you</t>
  </si>
  <si>
    <t>El Sot</t>
  </si>
  <si>
    <r>
      <t xml:space="preserve">Q30: De incluir nuevos clubs/pistas para el año que viene </t>
    </r>
    <r>
      <rPr>
        <b/>
        <i/>
        <sz val="12"/>
        <color rgb="FF000000"/>
        <rFont val="Calibri"/>
        <family val="2"/>
        <scheme val="minor"/>
      </rPr>
      <t>¿de qué prueba del calendario de este año podrías prescindir?</t>
    </r>
  </si>
  <si>
    <t>Total participantes:</t>
  </si>
  <si>
    <t>ENCUESTA RESISBARNA 2015</t>
  </si>
  <si>
    <r>
      <t xml:space="preserve">Q11: </t>
    </r>
    <r>
      <rPr>
        <b/>
        <i/>
        <sz val="12"/>
        <color rgb="FF000000"/>
        <rFont val="Calibri"/>
        <family val="2"/>
        <scheme val="minor"/>
      </rPr>
      <t>¿Te parece bien que sólo se corra dentro del area metropolitana de Barcelona?</t>
    </r>
  </si>
  <si>
    <t>Slotmania</t>
  </si>
  <si>
    <t>de 65 pilotos (63% de participación)</t>
  </si>
  <si>
    <t>nocturna no</t>
  </si>
  <si>
    <t>dream no</t>
  </si>
  <si>
    <t>crono no</t>
  </si>
  <si>
    <r>
      <t xml:space="preserve">Q29: </t>
    </r>
    <r>
      <rPr>
        <b/>
        <i/>
        <sz val="12"/>
        <color rgb="FF000000"/>
        <rFont val="Calibri"/>
        <family val="2"/>
        <scheme val="minor"/>
      </rPr>
      <t>Destaca los 5 clubs/tiendas que más te gustan del campeonato Resisbarna &amp;nbsp</t>
    </r>
  </si>
  <si>
    <t>una más larga sí</t>
  </si>
  <si>
    <t>nocturna 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</si>
</sst>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0" fontId="0" fillId="0" borderId="0" xfId="0" applyNumberFormat="1"/>
    <xf numFmtId="10" fontId="0" fillId="0" borderId="1" xfId="0" applyNumberFormat="1" applyBorder="1"/>
    <xf numFmtId="0" fontId="1" fillId="0" borderId="0" xfId="0" applyFont="1" applyAlignment="1">
      <alignment horizontal="left" vertical="center" readingOrder="1"/>
    </xf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0" xfId="0" applyBorder="1"/>
    <xf numFmtId="1" fontId="0" fillId="0" borderId="0" xfId="0" applyNumberFormat="1"/>
    <xf numFmtId="10" fontId="0" fillId="0" borderId="1" xfId="0" applyNumberFormat="1" applyFont="1" applyBorder="1"/>
    <xf numFmtId="0" fontId="5" fillId="0" borderId="0" xfId="0" applyFont="1"/>
    <xf numFmtId="1" fontId="5" fillId="0" borderId="0" xfId="0" applyNumberFormat="1" applyFont="1"/>
    <xf numFmtId="0" fontId="0" fillId="0" borderId="0" xfId="0" applyFill="1" applyBorder="1"/>
    <xf numFmtId="0" fontId="6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8B21"/>
      <color rgb="FF26C1E6"/>
      <color rgb="FF2CE068"/>
      <color rgb="FFDF2DC6"/>
      <color rgb="FF0DA31B"/>
      <color rgb="FFD4351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Q1: </a:t>
            </a:r>
            <a:r>
              <a:rPr lang="en-US" i="1"/>
              <a:t>¿Estas satisfecho con el Resisbarna 2015?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Resultados!$B$4</c:f>
              <c:strCache>
                <c:ptCount val="1"/>
                <c:pt idx="0">
                  <c:v>Q1: ¿Estas satisfecho con el Resisbarna 2015?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D4351A"/>
                </a:solidFill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Resultados!$D$5:$D$9</c:f>
              <c:numCache>
                <c:formatCode>0.00%</c:formatCode>
                <c:ptCount val="5"/>
                <c:pt idx="0">
                  <c:v>0.41463414634146339</c:v>
                </c:pt>
                <c:pt idx="1">
                  <c:v>0.43902439024390244</c:v>
                </c:pt>
                <c:pt idx="2">
                  <c:v>0.12195121951219512</c:v>
                </c:pt>
                <c:pt idx="3">
                  <c:v>0</c:v>
                </c:pt>
                <c:pt idx="4">
                  <c:v>2.4390243902439025E-2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Q2: </a:t>
            </a:r>
            <a:r>
              <a:rPr lang="en-US" i="1"/>
              <a:t>¿Participarás el año que viene?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Resultados!$B$20</c:f>
              <c:strCache>
                <c:ptCount val="1"/>
                <c:pt idx="0">
                  <c:v>Q2: ¿Participarás el año que viene?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Resultados!$D$21:$D$25</c:f>
              <c:numCache>
                <c:formatCode>0.00%</c:formatCode>
                <c:ptCount val="5"/>
                <c:pt idx="0">
                  <c:v>0.41463414634146339</c:v>
                </c:pt>
                <c:pt idx="1">
                  <c:v>0.26829268292682928</c:v>
                </c:pt>
                <c:pt idx="2">
                  <c:v>0.17073170731707318</c:v>
                </c:pt>
                <c:pt idx="3">
                  <c:v>0.12195121951219512</c:v>
                </c:pt>
                <c:pt idx="4">
                  <c:v>2.4390243902439025E-2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Q3: ¿Dejarías el campeonato tal y como está de cara al año que viene?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Resultados!$B$36</c:f>
              <c:strCache>
                <c:ptCount val="1"/>
                <c:pt idx="0">
                  <c:v>Q3: ¿Dejarías el campeonato tal y como está de cara al año que viene?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Resultados!$D$37:$D$41</c:f>
              <c:numCache>
                <c:formatCode>0.00%</c:formatCode>
                <c:ptCount val="5"/>
                <c:pt idx="0">
                  <c:v>0.12195121951219512</c:v>
                </c:pt>
                <c:pt idx="1">
                  <c:v>0.41463414634146339</c:v>
                </c:pt>
                <c:pt idx="2">
                  <c:v>0.26829268292682928</c:v>
                </c:pt>
                <c:pt idx="3">
                  <c:v>0.12195121951219512</c:v>
                </c:pt>
                <c:pt idx="4">
                  <c:v>7.3170731707317069E-2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Q4: ¿Te parece correcto el precio de la inscripción de este año?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Resultados!$B$53</c:f>
              <c:strCache>
                <c:ptCount val="1"/>
                <c:pt idx="0">
                  <c:v>Q4: ¿Te parece correcto el precio de la inscripción de este año?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Resultados!$D$54:$D$58</c:f>
              <c:numCache>
                <c:formatCode>0.00%</c:formatCode>
                <c:ptCount val="5"/>
                <c:pt idx="0">
                  <c:v>0.53658536585365857</c:v>
                </c:pt>
                <c:pt idx="1">
                  <c:v>0.31707317073170732</c:v>
                </c:pt>
                <c:pt idx="2">
                  <c:v>7.3170731707317069E-2</c:v>
                </c:pt>
                <c:pt idx="3">
                  <c:v>7.3170731707317069E-2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Q5: ¿Te parece acertado el "hándicap" para los pilotos más punteros?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Resultados!$B$70</c:f>
              <c:strCache>
                <c:ptCount val="1"/>
                <c:pt idx="0">
                  <c:v>Q5: ¿Te parece acertado el "hándicap" para los pilotos más punteros?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D4351A"/>
                </a:solidFill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Resultados!$D$71:$D$75</c:f>
              <c:numCache>
                <c:formatCode>0.00%</c:formatCode>
                <c:ptCount val="5"/>
                <c:pt idx="0">
                  <c:v>0.53658536585365857</c:v>
                </c:pt>
                <c:pt idx="1">
                  <c:v>0.1951219512195122</c:v>
                </c:pt>
                <c:pt idx="2">
                  <c:v>0.17073170731707318</c:v>
                </c:pt>
                <c:pt idx="3">
                  <c:v>2.4390243902439025E-2</c:v>
                </c:pt>
                <c:pt idx="4">
                  <c:v>7.3170731707317069E-2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Q6: ¿Te parece asequible, en conjunto, seguir el campeonato?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Resultados!$P$4</c:f>
              <c:strCache>
                <c:ptCount val="1"/>
                <c:pt idx="0">
                  <c:v>Q6: ¿Te parece asequible, en conjunto, seguir el campeonato?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D4351A"/>
                </a:solidFill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Resultados!$R$5:$R$9</c:f>
              <c:numCache>
                <c:formatCode>0.00%</c:formatCode>
                <c:ptCount val="5"/>
                <c:pt idx="0">
                  <c:v>0.24390243902439024</c:v>
                </c:pt>
                <c:pt idx="1">
                  <c:v>0.48780487804878048</c:v>
                </c:pt>
                <c:pt idx="2">
                  <c:v>0.21951219512195122</c:v>
                </c:pt>
                <c:pt idx="3">
                  <c:v>2.4390243902439025E-2</c:v>
                </c:pt>
                <c:pt idx="4">
                  <c:v>2.4390243902439025E-2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Q7: ¿Encuentras correcto el tipo de premios por carrera + copas final de temporada</a:t>
            </a:r>
            <a:r>
              <a:rPr lang="en-US" i="1"/>
              <a:t>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Resultados!$P$20</c:f>
              <c:strCache>
                <c:ptCount val="1"/>
                <c:pt idx="0">
                  <c:v>Q7: ¿Encuentras correcto el tipo de premios por carrera + copas final de temporada?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Resultados!$R$21:$R$25</c:f>
              <c:numCache>
                <c:formatCode>0.00%</c:formatCode>
                <c:ptCount val="5"/>
                <c:pt idx="0">
                  <c:v>0.14634146341463414</c:v>
                </c:pt>
                <c:pt idx="1">
                  <c:v>0.36585365853658536</c:v>
                </c:pt>
                <c:pt idx="2">
                  <c:v>0.29268292682926828</c:v>
                </c:pt>
                <c:pt idx="3">
                  <c:v>0.17073170731707318</c:v>
                </c:pt>
                <c:pt idx="4">
                  <c:v>2.4390243902439025E-2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Q8: Si no hubiera premios por carrera, solo copas al final, ¿estarías de acuerdo?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Resultados!$P$36</c:f>
              <c:strCache>
                <c:ptCount val="1"/>
                <c:pt idx="0">
                  <c:v>Q8: Si no hubiera premios por carrera, solo copas al final, ¿estarías de acuerdo?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Resultados!$R$37:$R$41</c:f>
              <c:numCache>
                <c:formatCode>0.00%</c:formatCode>
                <c:ptCount val="5"/>
                <c:pt idx="0">
                  <c:v>9.7560975609756101E-2</c:v>
                </c:pt>
                <c:pt idx="1">
                  <c:v>0.26829268292682928</c:v>
                </c:pt>
                <c:pt idx="2">
                  <c:v>0.29268292682926828</c:v>
                </c:pt>
                <c:pt idx="3">
                  <c:v>0.14634146341463414</c:v>
                </c:pt>
                <c:pt idx="4">
                  <c:v>0.1951219512195122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Q9: Respecto a los circuitos, ¿estás satisfecho con las pistas donde se participa?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Resultados!$P$53</c:f>
              <c:strCache>
                <c:ptCount val="1"/>
                <c:pt idx="0">
                  <c:v>Q9: Respecto a los circuitos, ¿estás satisfecho con las pistas donde se participa?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Resultados!$R$54:$R$58</c:f>
              <c:numCache>
                <c:formatCode>0.00%</c:formatCode>
                <c:ptCount val="5"/>
                <c:pt idx="0">
                  <c:v>0.17073170731707318</c:v>
                </c:pt>
                <c:pt idx="1">
                  <c:v>0.63414634146341464</c:v>
                </c:pt>
                <c:pt idx="2">
                  <c:v>0.17073170731707318</c:v>
                </c:pt>
                <c:pt idx="3">
                  <c:v>2.4390243902439025E-2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Q10: Respecto a los clubs, ¿estás satisfecho con los locales/tiendas donde se participa?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Resultados!$P$70</c:f>
              <c:strCache>
                <c:ptCount val="1"/>
                <c:pt idx="0">
                  <c:v>Q10: Respecto a los clubs, ¿estás satisfecho con los locales/tiendas donde se participa?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D4351A"/>
                </a:solidFill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Resultados!$R$71:$R$75</c:f>
              <c:numCache>
                <c:formatCode>0.00%</c:formatCode>
                <c:ptCount val="5"/>
                <c:pt idx="0">
                  <c:v>0.14634146341463414</c:v>
                </c:pt>
                <c:pt idx="1">
                  <c:v>0.68292682926829273</c:v>
                </c:pt>
                <c:pt idx="2">
                  <c:v>9.7560975609756101E-2</c:v>
                </c:pt>
                <c:pt idx="3">
                  <c:v>4.878048780487805E-2</c:v>
                </c:pt>
                <c:pt idx="4">
                  <c:v>2.4390243902439025E-2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Q11: ¿Te parece bien que sólo se corra dentro del area metropolitana de Barcelona?</a:t>
            </a:r>
            <a:endParaRPr lang="en-US" i="1"/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Resultados!$AD$4</c:f>
              <c:strCache>
                <c:ptCount val="1"/>
                <c:pt idx="0">
                  <c:v>Q11: ¿Te parece bien que sólo se corra dentro del area metropolitana de Barcelona?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D4351A"/>
                </a:solidFill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Resultados!$AF$5:$AF$9</c:f>
              <c:numCache>
                <c:formatCode>0.00%</c:formatCode>
                <c:ptCount val="5"/>
                <c:pt idx="0">
                  <c:v>0.51219512195121952</c:v>
                </c:pt>
                <c:pt idx="1">
                  <c:v>0.21951219512195122</c:v>
                </c:pt>
                <c:pt idx="2">
                  <c:v>0.17073170731707318</c:v>
                </c:pt>
                <c:pt idx="3">
                  <c:v>2.4390243902439025E-2</c:v>
                </c:pt>
                <c:pt idx="4">
                  <c:v>7.3170731707317069E-2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Q12: ¿Te gustaria que se realizara alguna prueba especial dentro del campeonato? </a:t>
            </a:r>
            <a:r>
              <a:rPr lang="en-US" sz="1400"/>
              <a:t>(nocturna, mayor duración, monomarca, etc.)</a:t>
            </a:r>
            <a:endParaRPr lang="en-US" sz="1400" i="1"/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Resultados!$AD$20</c:f>
              <c:strCache>
                <c:ptCount val="1"/>
                <c:pt idx="0">
                  <c:v>Q12: ¿Te gustaria que se realizara alguna prueba especial dentro del campeonato? (nocturna, mayor duración, monomarca, etc.)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Resultados!$AF$21:$AF$25</c:f>
              <c:numCache>
                <c:formatCode>0.00%</c:formatCode>
                <c:ptCount val="5"/>
                <c:pt idx="0">
                  <c:v>0.34146341463414637</c:v>
                </c:pt>
                <c:pt idx="1">
                  <c:v>0.1951219512195122</c:v>
                </c:pt>
                <c:pt idx="2">
                  <c:v>0.24390243902439024</c:v>
                </c:pt>
                <c:pt idx="3">
                  <c:v>0.14634146341463414</c:v>
                </c:pt>
                <c:pt idx="4">
                  <c:v>7.3170731707317069E-2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Q13: ¿Crees que existe un buen nivel de pilotaje del Resisbarna?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Resultados!$AD$36</c:f>
              <c:strCache>
                <c:ptCount val="1"/>
                <c:pt idx="0">
                  <c:v>Q13: ¿Crees que existe un buen nivel de pilotaje del Resisbarna?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Resultados!$AF$37:$AF$41</c:f>
              <c:numCache>
                <c:formatCode>0.00%</c:formatCode>
                <c:ptCount val="5"/>
                <c:pt idx="0">
                  <c:v>0.56097560975609762</c:v>
                </c:pt>
                <c:pt idx="1">
                  <c:v>0.41463414634146339</c:v>
                </c:pt>
                <c:pt idx="2">
                  <c:v>2.4390243902439025E-2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Q14: ¿Crees que la Cordinadora tiene en cuenta las opiniones de los participantes?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Resultados!$AD$53</c:f>
              <c:strCache>
                <c:ptCount val="1"/>
                <c:pt idx="0">
                  <c:v>Q14: ¿Crees que la Cordinadora tiene en cuenta las opiniones de los participantes?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Resultados!$AF$54:$AF$58</c:f>
              <c:numCache>
                <c:formatCode>0.00%</c:formatCode>
                <c:ptCount val="5"/>
                <c:pt idx="0">
                  <c:v>0.26829268292682928</c:v>
                </c:pt>
                <c:pt idx="1">
                  <c:v>0.41463414634146339</c:v>
                </c:pt>
                <c:pt idx="2">
                  <c:v>0.26829268292682928</c:v>
                </c:pt>
                <c:pt idx="3">
                  <c:v>4.878048780487805E-2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Q15: ¿Crees que hay un buen ambiente en las carreras?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Resultados!$AD$70</c:f>
              <c:strCache>
                <c:ptCount val="1"/>
                <c:pt idx="0">
                  <c:v>Q15: ¿Crees que hay un buen ambiente en las carreras?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D4351A"/>
                </a:solidFill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Resultados!$AF$71:$AF$75</c:f>
              <c:numCache>
                <c:formatCode>0.00%</c:formatCode>
                <c:ptCount val="5"/>
                <c:pt idx="0">
                  <c:v>0.48780487804878048</c:v>
                </c:pt>
                <c:pt idx="1">
                  <c:v>0.36585365853658536</c:v>
                </c:pt>
                <c:pt idx="2">
                  <c:v>0.14634146341463414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Q16: ¿Estás satisfecho con el trabajo de la Coordinadora en el campeonato?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Resultados!$AR$4</c:f>
              <c:strCache>
                <c:ptCount val="1"/>
                <c:pt idx="0">
                  <c:v>Q16: ¿Estás satisfecho con el trabajo de la Coordinadora en el campeonato?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D4351A"/>
                </a:solidFill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Resultados!$AT$5:$AT$9</c:f>
              <c:numCache>
                <c:formatCode>0.00%</c:formatCode>
                <c:ptCount val="5"/>
                <c:pt idx="0">
                  <c:v>0.51219512195121952</c:v>
                </c:pt>
                <c:pt idx="1">
                  <c:v>0.46341463414634149</c:v>
                </c:pt>
                <c:pt idx="2">
                  <c:v>2.4390243902439025E-2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Q17: ¿Qué te parecería celebrar mangas los jueves?</a:t>
            </a:r>
            <a:endParaRPr lang="en-US" i="1"/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Resultados!$AR$20</c:f>
              <c:strCache>
                <c:ptCount val="1"/>
                <c:pt idx="0">
                  <c:v>Q17: ¿Qué te parecería celebrar mangas los jueves?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Resultados!$AT$21:$AT$25</c:f>
              <c:numCache>
                <c:formatCode>0.00%</c:formatCode>
                <c:ptCount val="5"/>
                <c:pt idx="0">
                  <c:v>0.21951219512195122</c:v>
                </c:pt>
                <c:pt idx="1">
                  <c:v>0.26829268292682928</c:v>
                </c:pt>
                <c:pt idx="2">
                  <c:v>0.21951219512195122</c:v>
                </c:pt>
                <c:pt idx="3">
                  <c:v>0.17073170731707318</c:v>
                </c:pt>
                <c:pt idx="4">
                  <c:v>0.12195121951219512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Q18: ¿Qué te parece la cantidad de coches que pueden utilizarse?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Resultados!$AR$36</c:f>
              <c:strCache>
                <c:ptCount val="1"/>
                <c:pt idx="0">
                  <c:v>Q18: ¿Qué te parece la cantidad de coches que pueden utilizarse?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Resultados!$AT$37:$AT$41</c:f>
              <c:numCache>
                <c:formatCode>0.00%</c:formatCode>
                <c:ptCount val="5"/>
                <c:pt idx="0">
                  <c:v>0.1951219512195122</c:v>
                </c:pt>
                <c:pt idx="1">
                  <c:v>0.43902439024390244</c:v>
                </c:pt>
                <c:pt idx="2">
                  <c:v>0.31707317073170732</c:v>
                </c:pt>
                <c:pt idx="3">
                  <c:v>4.878048780487805E-2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Q19: ¿Estarías de acuerdo en aceptar material de impresión en 3D para el año que viene?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Resultados!$AR$53</c:f>
              <c:strCache>
                <c:ptCount val="1"/>
                <c:pt idx="0">
                  <c:v>Q19: ¿Estarías de acuerdo en aceptar material de impresión en 3D para el año que viene?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Resultados!$AT$54:$AT$58</c:f>
              <c:numCache>
                <c:formatCode>0.00%</c:formatCode>
                <c:ptCount val="5"/>
                <c:pt idx="0">
                  <c:v>0.36585365853658536</c:v>
                </c:pt>
                <c:pt idx="1">
                  <c:v>0.31707317073170732</c:v>
                </c:pt>
                <c:pt idx="2">
                  <c:v>0.17073170731707318</c:v>
                </c:pt>
                <c:pt idx="3">
                  <c:v>0</c:v>
                </c:pt>
                <c:pt idx="4">
                  <c:v>0.14634146341463414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Q20: ¿Serías partidario de un Resisbarna monomarca o monocategoría?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Resultados!$AR$70</c:f>
              <c:strCache>
                <c:ptCount val="1"/>
                <c:pt idx="0">
                  <c:v>Q20: ¿Serías partidario de un Resisbarna monomarca o monocategoría?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D4351A"/>
                </a:solidFill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Resultados!$AT$71:$AT$75</c:f>
              <c:numCache>
                <c:formatCode>0.00%</c:formatCode>
                <c:ptCount val="5"/>
                <c:pt idx="0">
                  <c:v>0.17073170731707318</c:v>
                </c:pt>
                <c:pt idx="1">
                  <c:v>0.26829268292682928</c:v>
                </c:pt>
                <c:pt idx="2">
                  <c:v>0.14634146341463414</c:v>
                </c:pt>
                <c:pt idx="3">
                  <c:v>7.3170731707317069E-2</c:v>
                </c:pt>
                <c:pt idx="4">
                  <c:v>0.34146341463414637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Q21: ¿Te parecen acertadas las copas monomarca/promoción de este año?</a:t>
            </a:r>
            <a:endParaRPr lang="en-US" i="1"/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Resultados!$BF$4</c:f>
              <c:strCache>
                <c:ptCount val="1"/>
                <c:pt idx="0">
                  <c:v>Q21: ¿Te parecen acertadas las copas monomarca/promoción de este año?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D4351A"/>
                </a:solidFill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Resultados!$BH$5:$BH$9</c:f>
              <c:numCache>
                <c:formatCode>0.00%</c:formatCode>
                <c:ptCount val="5"/>
                <c:pt idx="0">
                  <c:v>0.36585365853658536</c:v>
                </c:pt>
                <c:pt idx="1">
                  <c:v>0.41463414634146339</c:v>
                </c:pt>
                <c:pt idx="2">
                  <c:v>0.14634146341463414</c:v>
                </c:pt>
                <c:pt idx="3">
                  <c:v>4.878048780487805E-2</c:v>
                </c:pt>
                <c:pt idx="4">
                  <c:v>2.4390243902439025E-2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Q22: ¿Estás de acuerdo con el tipo de entrenamientos de este año?</a:t>
            </a:r>
            <a:endParaRPr lang="en-US" sz="1400" i="1"/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Resultados!$BF$20</c:f>
              <c:strCache>
                <c:ptCount val="1"/>
                <c:pt idx="0">
                  <c:v>Q22: ¿Estás de acuerdo con el tipo de entrenamientos de este año?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Resultados!$BH$21:$BH$25</c:f>
              <c:numCache>
                <c:formatCode>0.00%</c:formatCode>
                <c:ptCount val="5"/>
                <c:pt idx="0">
                  <c:v>0.24390243902439024</c:v>
                </c:pt>
                <c:pt idx="1">
                  <c:v>0.21951219512195122</c:v>
                </c:pt>
                <c:pt idx="2">
                  <c:v>0.26829268292682928</c:v>
                </c:pt>
                <c:pt idx="3">
                  <c:v>0.14634146341463414</c:v>
                </c:pt>
                <c:pt idx="4">
                  <c:v>0.12195121951219512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Q23: ¿Te parece bien celebrar nueve pruebas por temporada?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Resultados!$BF$36</c:f>
              <c:strCache>
                <c:ptCount val="1"/>
                <c:pt idx="0">
                  <c:v>Q23: ¿Te parece bien celebrar nueve pruebas por temporada?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Resultados!$BH$37:$BH$41</c:f>
              <c:numCache>
                <c:formatCode>0.00%</c:formatCode>
                <c:ptCount val="5"/>
                <c:pt idx="0">
                  <c:v>0.36585365853658536</c:v>
                </c:pt>
                <c:pt idx="1">
                  <c:v>0.51219512195121952</c:v>
                </c:pt>
                <c:pt idx="2">
                  <c:v>9.7560975609756101E-2</c:v>
                </c:pt>
                <c:pt idx="3">
                  <c:v>2.4390243902439025E-2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Q24: ¿Te parecen correctas las verificaciones que se realizan?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Resultados!$BF$53</c:f>
              <c:strCache>
                <c:ptCount val="1"/>
                <c:pt idx="0">
                  <c:v>Q24: ¿Te parecen correctas las verificaciones que se realizan?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Resultados!$BH$54:$BH$58</c:f>
              <c:numCache>
                <c:formatCode>0.00%</c:formatCode>
                <c:ptCount val="5"/>
                <c:pt idx="0">
                  <c:v>0.29268292682926828</c:v>
                </c:pt>
                <c:pt idx="1">
                  <c:v>0.51219512195121952</c:v>
                </c:pt>
                <c:pt idx="2">
                  <c:v>0.14634146341463414</c:v>
                </c:pt>
                <c:pt idx="3">
                  <c:v>4.878048780487805E-2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Q25: ¿Te parece bien correr 15 minutos por pista?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Resultados!$BF$70</c:f>
              <c:strCache>
                <c:ptCount val="1"/>
                <c:pt idx="0">
                  <c:v>Q25: ¿Te parece bien correr 15 minutos por pista?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D4351A"/>
                </a:solidFill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Resultados!$BH$71:$BH$75</c:f>
              <c:numCache>
                <c:formatCode>0.00%</c:formatCode>
                <c:ptCount val="5"/>
                <c:pt idx="0">
                  <c:v>0.46341463414634149</c:v>
                </c:pt>
                <c:pt idx="1">
                  <c:v>0.41463414634146339</c:v>
                </c:pt>
                <c:pt idx="2">
                  <c:v>2.4390243902439025E-2</c:v>
                </c:pt>
                <c:pt idx="3">
                  <c:v>9.7560975609756101E-2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Q26: ¿Consideras el Resisbarna un campeonato accesible a nivel técnico?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Resultados!$BT$4</c:f>
              <c:strCache>
                <c:ptCount val="1"/>
                <c:pt idx="0">
                  <c:v>Q26: ¿Consideras el Resisbarna un campeonato accesible a nivel técnico?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solidFill>
                  <a:srgbClr val="D4351A"/>
                </a:solidFill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Resultados!$BV$5:$BV$9</c:f>
              <c:numCache>
                <c:formatCode>0.00%</c:formatCode>
                <c:ptCount val="5"/>
                <c:pt idx="0">
                  <c:v>0.31707317073170732</c:v>
                </c:pt>
                <c:pt idx="1">
                  <c:v>0.51219512195121952</c:v>
                </c:pt>
                <c:pt idx="2">
                  <c:v>0.12195121951219512</c:v>
                </c:pt>
                <c:pt idx="3">
                  <c:v>4.878048780487805E-2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Q27: ¿Estás satisfecho con el motor que se utiliza?</a:t>
            </a:r>
            <a:endParaRPr lang="en-US" i="1"/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Resultados!$BT$20</c:f>
              <c:strCache>
                <c:ptCount val="1"/>
                <c:pt idx="0">
                  <c:v>Q27: ¿Estás satisfecho con el motor que se utiliza?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Resultados!$BV$21:$BV$25</c:f>
              <c:numCache>
                <c:formatCode>0.00%</c:formatCode>
                <c:ptCount val="5"/>
                <c:pt idx="0">
                  <c:v>0.6097560975609756</c:v>
                </c:pt>
                <c:pt idx="1">
                  <c:v>0.21951219512195122</c:v>
                </c:pt>
                <c:pt idx="2">
                  <c:v>0.12195121951219512</c:v>
                </c:pt>
                <c:pt idx="3">
                  <c:v>2.4390243902439025E-2</c:v>
                </c:pt>
                <c:pt idx="4">
                  <c:v>2.4390243902439025E-2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Q28: ¿Preferirías un campeonato abierto a todas las marcas?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Resultados!$BT$36</c:f>
              <c:strCache>
                <c:ptCount val="1"/>
                <c:pt idx="0">
                  <c:v>Q28: ¿Preferirías un campeonato abierto a todas las marcas?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Resultados!$C$5:$C$9</c:f>
              <c:strCache>
                <c:ptCount val="5"/>
                <c:pt idx="0">
                  <c:v>sí, totalmente, muy bien</c:v>
                </c:pt>
                <c:pt idx="1">
                  <c:v>bastante, bien</c:v>
                </c:pt>
                <c:pt idx="2">
                  <c:v>normal, correcto, aceptable</c:v>
                </c:pt>
                <c:pt idx="3">
                  <c:v>poco, quizás no, dudo, no mucho</c:v>
                </c:pt>
                <c:pt idx="4">
                  <c:v>nada, no</c:v>
                </c:pt>
              </c:strCache>
            </c:strRef>
          </c:cat>
          <c:val>
            <c:numRef>
              <c:f>Resultados!$BV$37:$BV$41</c:f>
              <c:numCache>
                <c:formatCode>0.00%</c:formatCode>
                <c:ptCount val="5"/>
                <c:pt idx="0">
                  <c:v>0.21951219512195122</c:v>
                </c:pt>
                <c:pt idx="1">
                  <c:v>0.14634146341463414</c:v>
                </c:pt>
                <c:pt idx="2">
                  <c:v>0.26829268292682928</c:v>
                </c:pt>
                <c:pt idx="3">
                  <c:v>0.14634146341463414</c:v>
                </c:pt>
                <c:pt idx="4">
                  <c:v>0.21951219512195122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i="1"/>
              <a:t>Q29: Destaca los 5 clubs/tiendas que más te gustan del campeonato Resisbarna 2015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Resultados!$BT$53</c:f>
              <c:strCache>
                <c:ptCount val="1"/>
                <c:pt idx="0">
                  <c:v>Q29: Destaca los 5 clubs/tiendas que más te gustan del campeonato Resisbarna &amp;nbsp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</c:spPr>
          </c:dPt>
          <c:dPt>
            <c:idx val="2"/>
            <c:bubble3D val="0"/>
            <c:spPr>
              <a:solidFill>
                <a:srgbClr val="FFC000"/>
              </a:solidFill>
            </c:spPr>
          </c:dPt>
          <c:dPt>
            <c:idx val="3"/>
            <c:bubble3D val="0"/>
            <c:spPr>
              <a:solidFill>
                <a:srgbClr val="0DA31B"/>
              </a:solidFill>
            </c:spPr>
          </c:dPt>
          <c:dPt>
            <c:idx val="4"/>
            <c:bubble3D val="0"/>
            <c:spPr>
              <a:solidFill>
                <a:srgbClr val="7030A0"/>
              </a:solidFill>
            </c:spPr>
          </c:dPt>
          <c:dPt>
            <c:idx val="5"/>
            <c:bubble3D val="0"/>
            <c:spPr>
              <a:solidFill>
                <a:srgbClr val="EB8B21"/>
              </a:solidFill>
            </c:spPr>
          </c:dPt>
          <c:dPt>
            <c:idx val="6"/>
            <c:bubble3D val="0"/>
            <c:spPr>
              <a:solidFill>
                <a:srgbClr val="DF2DC6"/>
              </a:solidFill>
            </c:spPr>
          </c:dPt>
          <c:dPt>
            <c:idx val="7"/>
            <c:bubble3D val="0"/>
            <c:spPr>
              <a:solidFill>
                <a:srgbClr val="2CE068"/>
              </a:solidFill>
            </c:spPr>
          </c:dPt>
          <c:dPt>
            <c:idx val="8"/>
            <c:bubble3D val="0"/>
            <c:spPr>
              <a:solidFill>
                <a:srgbClr val="26C1E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Resultados!$BU$54:$BU$62</c:f>
              <c:strCache>
                <c:ptCount val="9"/>
                <c:pt idx="0">
                  <c:v>Hot Slot</c:v>
                </c:pt>
                <c:pt idx="1">
                  <c:v>Gas Clavat</c:v>
                </c:pt>
                <c:pt idx="2">
                  <c:v>SiscuSlot</c:v>
                </c:pt>
                <c:pt idx="3">
                  <c:v>Dream Slot</c:v>
                </c:pt>
                <c:pt idx="4">
                  <c:v>Slotmania</c:v>
                </c:pt>
                <c:pt idx="5">
                  <c:v>BSR</c:v>
                </c:pt>
                <c:pt idx="6">
                  <c:v>Crono</c:v>
                </c:pt>
                <c:pt idx="7">
                  <c:v>Slot4you</c:v>
                </c:pt>
                <c:pt idx="8">
                  <c:v>El Sot</c:v>
                </c:pt>
              </c:strCache>
            </c:strRef>
          </c:cat>
          <c:val>
            <c:numRef>
              <c:f>Resultados!$BV$54:$BV$62</c:f>
              <c:numCache>
                <c:formatCode>0.00%</c:formatCode>
                <c:ptCount val="9"/>
                <c:pt idx="0">
                  <c:v>0.13471502590673576</c:v>
                </c:pt>
                <c:pt idx="1">
                  <c:v>0.12435233160621761</c:v>
                </c:pt>
                <c:pt idx="2">
                  <c:v>5.6994818652849742E-2</c:v>
                </c:pt>
                <c:pt idx="3">
                  <c:v>0.13471502590673576</c:v>
                </c:pt>
                <c:pt idx="4">
                  <c:v>0.15025906735751296</c:v>
                </c:pt>
                <c:pt idx="5">
                  <c:v>8.2901554404145081E-2</c:v>
                </c:pt>
                <c:pt idx="6">
                  <c:v>5.6994818652849742E-2</c:v>
                </c:pt>
                <c:pt idx="7">
                  <c:v>8.2901554404145081E-2</c:v>
                </c:pt>
                <c:pt idx="8">
                  <c:v>0.17616580310880828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4</xdr:row>
      <xdr:rowOff>0</xdr:rowOff>
    </xdr:from>
    <xdr:to>
      <xdr:col>8</xdr:col>
      <xdr:colOff>326571</xdr:colOff>
      <xdr:row>18</xdr:row>
      <xdr:rowOff>76200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181656</xdr:rowOff>
    </xdr:from>
    <xdr:to>
      <xdr:col>8</xdr:col>
      <xdr:colOff>297997</xdr:colOff>
      <xdr:row>34</xdr:row>
      <xdr:rowOff>67356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35</xdr:row>
      <xdr:rowOff>181656</xdr:rowOff>
    </xdr:from>
    <xdr:to>
      <xdr:col>8</xdr:col>
      <xdr:colOff>297997</xdr:colOff>
      <xdr:row>51</xdr:row>
      <xdr:rowOff>181656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52</xdr:row>
      <xdr:rowOff>181656</xdr:rowOff>
    </xdr:from>
    <xdr:to>
      <xdr:col>8</xdr:col>
      <xdr:colOff>297997</xdr:colOff>
      <xdr:row>68</xdr:row>
      <xdr:rowOff>181656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28574</xdr:colOff>
      <xdr:row>70</xdr:row>
      <xdr:rowOff>0</xdr:rowOff>
    </xdr:from>
    <xdr:to>
      <xdr:col>8</xdr:col>
      <xdr:colOff>326571</xdr:colOff>
      <xdr:row>85</xdr:row>
      <xdr:rowOff>154441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523874</xdr:colOff>
      <xdr:row>4</xdr:row>
      <xdr:rowOff>0</xdr:rowOff>
    </xdr:from>
    <xdr:to>
      <xdr:col>17</xdr:col>
      <xdr:colOff>59871</xdr:colOff>
      <xdr:row>19</xdr:row>
      <xdr:rowOff>13568</xdr:rowOff>
    </xdr:to>
    <xdr:graphicFrame macro="">
      <xdr:nvGraphicFramePr>
        <xdr:cNvPr id="7" name="6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495300</xdr:colOff>
      <xdr:row>19</xdr:row>
      <xdr:rowOff>181655</xdr:rowOff>
    </xdr:from>
    <xdr:to>
      <xdr:col>17</xdr:col>
      <xdr:colOff>31297</xdr:colOff>
      <xdr:row>35</xdr:row>
      <xdr:rowOff>95064</xdr:rowOff>
    </xdr:to>
    <xdr:graphicFrame macro="">
      <xdr:nvGraphicFramePr>
        <xdr:cNvPr id="8" name="7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495300</xdr:colOff>
      <xdr:row>35</xdr:row>
      <xdr:rowOff>181656</xdr:rowOff>
    </xdr:from>
    <xdr:to>
      <xdr:col>17</xdr:col>
      <xdr:colOff>31297</xdr:colOff>
      <xdr:row>51</xdr:row>
      <xdr:rowOff>181656</xdr:rowOff>
    </xdr:to>
    <xdr:graphicFrame macro="">
      <xdr:nvGraphicFramePr>
        <xdr:cNvPr id="9" name="8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495300</xdr:colOff>
      <xdr:row>52</xdr:row>
      <xdr:rowOff>181656</xdr:rowOff>
    </xdr:from>
    <xdr:to>
      <xdr:col>17</xdr:col>
      <xdr:colOff>31297</xdr:colOff>
      <xdr:row>68</xdr:row>
      <xdr:rowOff>181656</xdr:rowOff>
    </xdr:to>
    <xdr:graphicFrame macro="">
      <xdr:nvGraphicFramePr>
        <xdr:cNvPr id="10" name="9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523874</xdr:colOff>
      <xdr:row>70</xdr:row>
      <xdr:rowOff>0</xdr:rowOff>
    </xdr:from>
    <xdr:to>
      <xdr:col>17</xdr:col>
      <xdr:colOff>59871</xdr:colOff>
      <xdr:row>85</xdr:row>
      <xdr:rowOff>154441</xdr:rowOff>
    </xdr:to>
    <xdr:graphicFrame macro="">
      <xdr:nvGraphicFramePr>
        <xdr:cNvPr id="11" name="10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257174</xdr:colOff>
      <xdr:row>4</xdr:row>
      <xdr:rowOff>0</xdr:rowOff>
    </xdr:from>
    <xdr:to>
      <xdr:col>26</xdr:col>
      <xdr:colOff>555171</xdr:colOff>
      <xdr:row>19</xdr:row>
      <xdr:rowOff>86406</xdr:rowOff>
    </xdr:to>
    <xdr:graphicFrame macro="">
      <xdr:nvGraphicFramePr>
        <xdr:cNvPr id="12" name="1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228600</xdr:colOff>
      <xdr:row>19</xdr:row>
      <xdr:rowOff>181656</xdr:rowOff>
    </xdr:from>
    <xdr:to>
      <xdr:col>26</xdr:col>
      <xdr:colOff>526597</xdr:colOff>
      <xdr:row>35</xdr:row>
      <xdr:rowOff>127227</xdr:rowOff>
    </xdr:to>
    <xdr:graphicFrame macro="">
      <xdr:nvGraphicFramePr>
        <xdr:cNvPr id="13" name="1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228600</xdr:colOff>
      <xdr:row>35</xdr:row>
      <xdr:rowOff>181656</xdr:rowOff>
    </xdr:from>
    <xdr:to>
      <xdr:col>26</xdr:col>
      <xdr:colOff>526597</xdr:colOff>
      <xdr:row>51</xdr:row>
      <xdr:rowOff>181656</xdr:rowOff>
    </xdr:to>
    <xdr:graphicFrame macro="">
      <xdr:nvGraphicFramePr>
        <xdr:cNvPr id="14" name="1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228600</xdr:colOff>
      <xdr:row>52</xdr:row>
      <xdr:rowOff>181656</xdr:rowOff>
    </xdr:from>
    <xdr:to>
      <xdr:col>26</xdr:col>
      <xdr:colOff>526597</xdr:colOff>
      <xdr:row>68</xdr:row>
      <xdr:rowOff>181656</xdr:rowOff>
    </xdr:to>
    <xdr:graphicFrame macro="">
      <xdr:nvGraphicFramePr>
        <xdr:cNvPr id="15" name="1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257174</xdr:colOff>
      <xdr:row>70</xdr:row>
      <xdr:rowOff>0</xdr:rowOff>
    </xdr:from>
    <xdr:to>
      <xdr:col>26</xdr:col>
      <xdr:colOff>555171</xdr:colOff>
      <xdr:row>85</xdr:row>
      <xdr:rowOff>154441</xdr:rowOff>
    </xdr:to>
    <xdr:graphicFrame macro="">
      <xdr:nvGraphicFramePr>
        <xdr:cNvPr id="16" name="1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27</xdr:col>
      <xdr:colOff>752474</xdr:colOff>
      <xdr:row>4</xdr:row>
      <xdr:rowOff>0</xdr:rowOff>
    </xdr:from>
    <xdr:to>
      <xdr:col>35</xdr:col>
      <xdr:colOff>242455</xdr:colOff>
      <xdr:row>19</xdr:row>
      <xdr:rowOff>13568</xdr:rowOff>
    </xdr:to>
    <xdr:graphicFrame macro="">
      <xdr:nvGraphicFramePr>
        <xdr:cNvPr id="17" name="16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27</xdr:col>
      <xdr:colOff>723900</xdr:colOff>
      <xdr:row>19</xdr:row>
      <xdr:rowOff>181655</xdr:rowOff>
    </xdr:from>
    <xdr:to>
      <xdr:col>35</xdr:col>
      <xdr:colOff>259897</xdr:colOff>
      <xdr:row>35</xdr:row>
      <xdr:rowOff>95064</xdr:rowOff>
    </xdr:to>
    <xdr:graphicFrame macro="">
      <xdr:nvGraphicFramePr>
        <xdr:cNvPr id="18" name="17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27</xdr:col>
      <xdr:colOff>723900</xdr:colOff>
      <xdr:row>35</xdr:row>
      <xdr:rowOff>181656</xdr:rowOff>
    </xdr:from>
    <xdr:to>
      <xdr:col>35</xdr:col>
      <xdr:colOff>259897</xdr:colOff>
      <xdr:row>51</xdr:row>
      <xdr:rowOff>181656</xdr:rowOff>
    </xdr:to>
    <xdr:graphicFrame macro="">
      <xdr:nvGraphicFramePr>
        <xdr:cNvPr id="19" name="18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27</xdr:col>
      <xdr:colOff>723900</xdr:colOff>
      <xdr:row>52</xdr:row>
      <xdr:rowOff>181656</xdr:rowOff>
    </xdr:from>
    <xdr:to>
      <xdr:col>35</xdr:col>
      <xdr:colOff>259897</xdr:colOff>
      <xdr:row>68</xdr:row>
      <xdr:rowOff>181656</xdr:rowOff>
    </xdr:to>
    <xdr:graphicFrame macro="">
      <xdr:nvGraphicFramePr>
        <xdr:cNvPr id="20" name="19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27</xdr:col>
      <xdr:colOff>752474</xdr:colOff>
      <xdr:row>70</xdr:row>
      <xdr:rowOff>0</xdr:rowOff>
    </xdr:from>
    <xdr:to>
      <xdr:col>35</xdr:col>
      <xdr:colOff>288471</xdr:colOff>
      <xdr:row>85</xdr:row>
      <xdr:rowOff>154441</xdr:rowOff>
    </xdr:to>
    <xdr:graphicFrame macro="">
      <xdr:nvGraphicFramePr>
        <xdr:cNvPr id="21" name="20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38</xdr:col>
      <xdr:colOff>108176</xdr:colOff>
      <xdr:row>3</xdr:row>
      <xdr:rowOff>176893</xdr:rowOff>
    </xdr:from>
    <xdr:to>
      <xdr:col>45</xdr:col>
      <xdr:colOff>432027</xdr:colOff>
      <xdr:row>19</xdr:row>
      <xdr:rowOff>72799</xdr:rowOff>
    </xdr:to>
    <xdr:graphicFrame macro="">
      <xdr:nvGraphicFramePr>
        <xdr:cNvPr id="22" name="2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38</xdr:col>
      <xdr:colOff>123825</xdr:colOff>
      <xdr:row>19</xdr:row>
      <xdr:rowOff>229281</xdr:rowOff>
    </xdr:from>
    <xdr:to>
      <xdr:col>45</xdr:col>
      <xdr:colOff>476250</xdr:colOff>
      <xdr:row>35</xdr:row>
      <xdr:rowOff>174852</xdr:rowOff>
    </xdr:to>
    <xdr:graphicFrame macro="">
      <xdr:nvGraphicFramePr>
        <xdr:cNvPr id="23" name="2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38</xdr:col>
      <xdr:colOff>147637</xdr:colOff>
      <xdr:row>36</xdr:row>
      <xdr:rowOff>62594</xdr:rowOff>
    </xdr:from>
    <xdr:to>
      <xdr:col>45</xdr:col>
      <xdr:colOff>445634</xdr:colOff>
      <xdr:row>52</xdr:row>
      <xdr:rowOff>62594</xdr:rowOff>
    </xdr:to>
    <xdr:graphicFrame macro="">
      <xdr:nvGraphicFramePr>
        <xdr:cNvPr id="24" name="2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38</xdr:col>
      <xdr:colOff>147637</xdr:colOff>
      <xdr:row>53</xdr:row>
      <xdr:rowOff>38781</xdr:rowOff>
    </xdr:from>
    <xdr:to>
      <xdr:col>45</xdr:col>
      <xdr:colOff>445634</xdr:colOff>
      <xdr:row>69</xdr:row>
      <xdr:rowOff>38781</xdr:rowOff>
    </xdr:to>
    <xdr:graphicFrame macro="">
      <xdr:nvGraphicFramePr>
        <xdr:cNvPr id="25" name="2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38</xdr:col>
      <xdr:colOff>200024</xdr:colOff>
      <xdr:row>70</xdr:row>
      <xdr:rowOff>47625</xdr:rowOff>
    </xdr:from>
    <xdr:to>
      <xdr:col>45</xdr:col>
      <xdr:colOff>523875</xdr:colOff>
      <xdr:row>85</xdr:row>
      <xdr:rowOff>202066</xdr:rowOff>
    </xdr:to>
    <xdr:graphicFrame macro="">
      <xdr:nvGraphicFramePr>
        <xdr:cNvPr id="26" name="2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47</xdr:col>
      <xdr:colOff>97846</xdr:colOff>
      <xdr:row>4</xdr:row>
      <xdr:rowOff>0</xdr:rowOff>
    </xdr:from>
    <xdr:to>
      <xdr:col>54</xdr:col>
      <xdr:colOff>395843</xdr:colOff>
      <xdr:row>19</xdr:row>
      <xdr:rowOff>13568</xdr:rowOff>
    </xdr:to>
    <xdr:graphicFrame macro="">
      <xdr:nvGraphicFramePr>
        <xdr:cNvPr id="27" name="26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47</xdr:col>
      <xdr:colOff>155863</xdr:colOff>
      <xdr:row>19</xdr:row>
      <xdr:rowOff>250928</xdr:rowOff>
    </xdr:from>
    <xdr:to>
      <xdr:col>54</xdr:col>
      <xdr:colOff>453860</xdr:colOff>
      <xdr:row>35</xdr:row>
      <xdr:rowOff>164337</xdr:rowOff>
    </xdr:to>
    <xdr:graphicFrame macro="">
      <xdr:nvGraphicFramePr>
        <xdr:cNvPr id="28" name="27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47</xdr:col>
      <xdr:colOff>155864</xdr:colOff>
      <xdr:row>36</xdr:row>
      <xdr:rowOff>95065</xdr:rowOff>
    </xdr:from>
    <xdr:to>
      <xdr:col>54</xdr:col>
      <xdr:colOff>453861</xdr:colOff>
      <xdr:row>52</xdr:row>
      <xdr:rowOff>95065</xdr:rowOff>
    </xdr:to>
    <xdr:graphicFrame macro="">
      <xdr:nvGraphicFramePr>
        <xdr:cNvPr id="29" name="28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47</xdr:col>
      <xdr:colOff>173181</xdr:colOff>
      <xdr:row>53</xdr:row>
      <xdr:rowOff>60429</xdr:rowOff>
    </xdr:from>
    <xdr:to>
      <xdr:col>54</xdr:col>
      <xdr:colOff>471178</xdr:colOff>
      <xdr:row>69</xdr:row>
      <xdr:rowOff>60429</xdr:rowOff>
    </xdr:to>
    <xdr:graphicFrame macro="">
      <xdr:nvGraphicFramePr>
        <xdr:cNvPr id="30" name="29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G83"/>
  <sheetViews>
    <sheetView zoomScale="25" zoomScaleNormal="25" workbookViewId="0">
      <selection activeCell="N93" sqref="N92:N93"/>
    </sheetView>
  </sheetViews>
  <sheetFormatPr baseColWidth="10" defaultRowHeight="15" x14ac:dyDescent="0.25"/>
  <cols>
    <col min="1" max="1" width="2.7109375" customWidth="1"/>
    <col min="2" max="2" width="7" customWidth="1"/>
    <col min="4" max="4" width="11.42578125" style="1"/>
    <col min="5" max="6" width="4.7109375" customWidth="1"/>
    <col min="15" max="15" width="2.7109375" customWidth="1"/>
    <col min="16" max="16" width="7" customWidth="1"/>
    <col min="18" max="18" width="11.42578125" style="1"/>
    <col min="19" max="20" width="4.7109375" customWidth="1"/>
    <col min="29" max="29" width="2.7109375" customWidth="1"/>
    <col min="30" max="30" width="7" customWidth="1"/>
    <col min="32" max="32" width="11.42578125" style="1"/>
    <col min="33" max="34" width="4.7109375" customWidth="1"/>
    <col min="43" max="43" width="2.7109375" customWidth="1"/>
    <col min="44" max="44" width="7" customWidth="1"/>
    <col min="46" max="46" width="11.42578125" style="1"/>
    <col min="47" max="48" width="4.7109375" customWidth="1"/>
    <col min="57" max="57" width="2.7109375" customWidth="1"/>
    <col min="58" max="58" width="7" customWidth="1"/>
    <col min="60" max="60" width="11.42578125" style="1"/>
    <col min="61" max="62" width="4.7109375" customWidth="1"/>
    <col min="71" max="71" width="2.7109375" customWidth="1"/>
    <col min="72" max="72" width="7" customWidth="1"/>
    <col min="74" max="74" width="11.42578125" style="1"/>
    <col min="75" max="76" width="4.7109375" customWidth="1"/>
  </cols>
  <sheetData>
    <row r="1" spans="2:75" ht="48.75" customHeight="1" x14ac:dyDescent="0.75">
      <c r="G1" s="4" t="s">
        <v>43</v>
      </c>
      <c r="AI1" s="4"/>
      <c r="BK1" s="4"/>
    </row>
    <row r="2" spans="2:75" ht="48.75" customHeight="1" x14ac:dyDescent="0.75">
      <c r="G2" s="5" t="s">
        <v>42</v>
      </c>
      <c r="K2" s="5">
        <v>41</v>
      </c>
      <c r="L2" s="5" t="s">
        <v>46</v>
      </c>
      <c r="AI2" s="4"/>
      <c r="BK2" s="4"/>
    </row>
    <row r="4" spans="2:75" ht="15.75" x14ac:dyDescent="0.25">
      <c r="B4" s="3" t="s">
        <v>6</v>
      </c>
      <c r="P4" s="3" t="s">
        <v>11</v>
      </c>
      <c r="AD4" s="3" t="s">
        <v>44</v>
      </c>
      <c r="AR4" s="3" t="s">
        <v>20</v>
      </c>
      <c r="BF4" s="3" t="s">
        <v>25</v>
      </c>
      <c r="BT4" s="3" t="s">
        <v>30</v>
      </c>
    </row>
    <row r="5" spans="2:75" x14ac:dyDescent="0.25">
      <c r="B5">
        <v>1</v>
      </c>
      <c r="C5" t="s">
        <v>0</v>
      </c>
      <c r="D5" s="1">
        <f>E5/$K$2</f>
        <v>0.41463414634146339</v>
      </c>
      <c r="E5">
        <v>17</v>
      </c>
      <c r="P5">
        <v>1</v>
      </c>
      <c r="Q5" t="s">
        <v>0</v>
      </c>
      <c r="R5" s="1">
        <f>S5/$K$2</f>
        <v>0.24390243902439024</v>
      </c>
      <c r="S5">
        <v>10</v>
      </c>
      <c r="AD5">
        <v>1</v>
      </c>
      <c r="AE5" t="s">
        <v>0</v>
      </c>
      <c r="AF5" s="1">
        <f>AG5/$K$2</f>
        <v>0.51219512195121952</v>
      </c>
      <c r="AG5">
        <v>21</v>
      </c>
      <c r="AR5">
        <v>1</v>
      </c>
      <c r="AS5" t="s">
        <v>0</v>
      </c>
      <c r="AT5" s="1">
        <f>AU5/$K$2</f>
        <v>0.51219512195121952</v>
      </c>
      <c r="AU5">
        <f>20+1</f>
        <v>21</v>
      </c>
      <c r="BF5">
        <v>1</v>
      </c>
      <c r="BG5" t="s">
        <v>0</v>
      </c>
      <c r="BH5" s="1">
        <f>BI5/$K$2</f>
        <v>0.36585365853658536</v>
      </c>
      <c r="BI5">
        <f>14+1</f>
        <v>15</v>
      </c>
      <c r="BT5">
        <v>1</v>
      </c>
      <c r="BU5" t="s">
        <v>0</v>
      </c>
      <c r="BV5" s="1">
        <f>BW5/$K$2</f>
        <v>0.31707317073170732</v>
      </c>
      <c r="BW5">
        <v>13</v>
      </c>
    </row>
    <row r="6" spans="2:75" x14ac:dyDescent="0.25">
      <c r="B6">
        <v>2</v>
      </c>
      <c r="C6" t="s">
        <v>1</v>
      </c>
      <c r="D6" s="1">
        <f t="shared" ref="D6:D9" si="0">E6/$K$2</f>
        <v>0.43902439024390244</v>
      </c>
      <c r="E6">
        <v>18</v>
      </c>
      <c r="P6">
        <v>2</v>
      </c>
      <c r="Q6" t="s">
        <v>1</v>
      </c>
      <c r="R6" s="1">
        <f t="shared" ref="R6:R9" si="1">S6/$K$2</f>
        <v>0.48780487804878048</v>
      </c>
      <c r="S6">
        <f>20</f>
        <v>20</v>
      </c>
      <c r="AD6">
        <v>2</v>
      </c>
      <c r="AE6" t="s">
        <v>1</v>
      </c>
      <c r="AF6" s="1">
        <f t="shared" ref="AF6:AF9" si="2">AG6/$K$2</f>
        <v>0.21951219512195122</v>
      </c>
      <c r="AG6">
        <f>7+1+1</f>
        <v>9</v>
      </c>
      <c r="AR6">
        <v>2</v>
      </c>
      <c r="AS6" t="s">
        <v>1</v>
      </c>
      <c r="AT6" s="1">
        <f t="shared" ref="AT6:AT9" si="3">AU6/$K$2</f>
        <v>0.46341463414634149</v>
      </c>
      <c r="AU6">
        <v>19</v>
      </c>
      <c r="BF6">
        <v>2</v>
      </c>
      <c r="BG6" t="s">
        <v>1</v>
      </c>
      <c r="BH6" s="1">
        <f t="shared" ref="BH6:BH9" si="4">BI6/$K$2</f>
        <v>0.41463414634146339</v>
      </c>
      <c r="BI6">
        <v>17</v>
      </c>
      <c r="BT6">
        <v>2</v>
      </c>
      <c r="BU6" t="s">
        <v>1</v>
      </c>
      <c r="BV6" s="1">
        <f t="shared" ref="BV6:BV9" si="5">BW6/$K$2</f>
        <v>0.51219512195121952</v>
      </c>
      <c r="BW6">
        <v>21</v>
      </c>
    </row>
    <row r="7" spans="2:75" x14ac:dyDescent="0.25">
      <c r="B7">
        <v>3</v>
      </c>
      <c r="C7" t="s">
        <v>2</v>
      </c>
      <c r="D7" s="1">
        <f>E7/$K$2</f>
        <v>0.12195121951219512</v>
      </c>
      <c r="E7">
        <v>5</v>
      </c>
      <c r="P7">
        <v>3</v>
      </c>
      <c r="Q7" t="s">
        <v>2</v>
      </c>
      <c r="R7" s="1">
        <f t="shared" si="1"/>
        <v>0.21951219512195122</v>
      </c>
      <c r="S7">
        <f>8+1</f>
        <v>9</v>
      </c>
      <c r="AD7">
        <v>3</v>
      </c>
      <c r="AE7" t="s">
        <v>2</v>
      </c>
      <c r="AF7" s="1">
        <f t="shared" si="2"/>
        <v>0.17073170731707318</v>
      </c>
      <c r="AG7">
        <v>7</v>
      </c>
      <c r="AR7">
        <v>3</v>
      </c>
      <c r="AS7" t="s">
        <v>2</v>
      </c>
      <c r="AT7" s="1">
        <f t="shared" si="3"/>
        <v>2.4390243902439025E-2</v>
      </c>
      <c r="AU7">
        <v>1</v>
      </c>
      <c r="BF7">
        <v>3</v>
      </c>
      <c r="BG7" t="s">
        <v>2</v>
      </c>
      <c r="BH7" s="1">
        <f t="shared" si="4"/>
        <v>0.14634146341463414</v>
      </c>
      <c r="BI7">
        <f>5+1</f>
        <v>6</v>
      </c>
      <c r="BT7">
        <v>3</v>
      </c>
      <c r="BU7" t="s">
        <v>2</v>
      </c>
      <c r="BV7" s="1">
        <f t="shared" si="5"/>
        <v>0.12195121951219512</v>
      </c>
      <c r="BW7">
        <v>5</v>
      </c>
    </row>
    <row r="8" spans="2:75" x14ac:dyDescent="0.25">
      <c r="B8">
        <v>4</v>
      </c>
      <c r="C8" t="s">
        <v>3</v>
      </c>
      <c r="D8" s="1">
        <f t="shared" si="0"/>
        <v>0</v>
      </c>
      <c r="E8">
        <v>0</v>
      </c>
      <c r="P8">
        <v>4</v>
      </c>
      <c r="Q8" t="s">
        <v>3</v>
      </c>
      <c r="R8" s="1">
        <f t="shared" si="1"/>
        <v>2.4390243902439025E-2</v>
      </c>
      <c r="S8">
        <v>1</v>
      </c>
      <c r="AD8">
        <v>4</v>
      </c>
      <c r="AE8" t="s">
        <v>3</v>
      </c>
      <c r="AF8" s="1">
        <f t="shared" si="2"/>
        <v>2.4390243902439025E-2</v>
      </c>
      <c r="AG8">
        <v>1</v>
      </c>
      <c r="AR8">
        <v>4</v>
      </c>
      <c r="AS8" t="s">
        <v>3</v>
      </c>
      <c r="AT8" s="1">
        <f t="shared" si="3"/>
        <v>0</v>
      </c>
      <c r="AU8">
        <v>0</v>
      </c>
      <c r="BF8">
        <v>4</v>
      </c>
      <c r="BG8" t="s">
        <v>3</v>
      </c>
      <c r="BH8" s="1">
        <f t="shared" si="4"/>
        <v>4.878048780487805E-2</v>
      </c>
      <c r="BI8">
        <v>2</v>
      </c>
      <c r="BT8">
        <v>4</v>
      </c>
      <c r="BU8" t="s">
        <v>3</v>
      </c>
      <c r="BV8" s="1">
        <f t="shared" si="5"/>
        <v>4.878048780487805E-2</v>
      </c>
      <c r="BW8">
        <v>2</v>
      </c>
    </row>
    <row r="9" spans="2:75" x14ac:dyDescent="0.25">
      <c r="B9">
        <v>5</v>
      </c>
      <c r="C9" t="s">
        <v>4</v>
      </c>
      <c r="D9" s="2">
        <f t="shared" si="0"/>
        <v>2.4390243902439025E-2</v>
      </c>
      <c r="E9" s="6">
        <v>1</v>
      </c>
      <c r="P9">
        <v>5</v>
      </c>
      <c r="Q9" t="s">
        <v>4</v>
      </c>
      <c r="R9" s="2">
        <f t="shared" si="1"/>
        <v>2.4390243902439025E-2</v>
      </c>
      <c r="S9" s="6">
        <v>1</v>
      </c>
      <c r="AD9">
        <v>5</v>
      </c>
      <c r="AE9" t="s">
        <v>4</v>
      </c>
      <c r="AF9" s="2">
        <f t="shared" si="2"/>
        <v>7.3170731707317069E-2</v>
      </c>
      <c r="AG9" s="6">
        <v>3</v>
      </c>
      <c r="AR9">
        <v>5</v>
      </c>
      <c r="AS9" t="s">
        <v>4</v>
      </c>
      <c r="AT9" s="1">
        <f t="shared" si="3"/>
        <v>0</v>
      </c>
      <c r="AU9" s="6">
        <v>0</v>
      </c>
      <c r="BF9">
        <v>5</v>
      </c>
      <c r="BG9" t="s">
        <v>4</v>
      </c>
      <c r="BH9" s="1">
        <f t="shared" si="4"/>
        <v>2.4390243902439025E-2</v>
      </c>
      <c r="BI9" s="6">
        <v>1</v>
      </c>
      <c r="BT9">
        <v>5</v>
      </c>
      <c r="BU9" t="s">
        <v>4</v>
      </c>
      <c r="BV9" s="2">
        <f t="shared" si="5"/>
        <v>0</v>
      </c>
      <c r="BW9" s="6">
        <v>0</v>
      </c>
    </row>
    <row r="10" spans="2:75" x14ac:dyDescent="0.25">
      <c r="D10" s="1">
        <f>SUM(D5:D9)</f>
        <v>1</v>
      </c>
      <c r="E10">
        <f>SUM(E5:E9)</f>
        <v>41</v>
      </c>
      <c r="R10" s="1">
        <f>SUM(R5:R9)</f>
        <v>1</v>
      </c>
      <c r="S10">
        <f>SUM(S5:S9)</f>
        <v>41</v>
      </c>
      <c r="AF10" s="1">
        <f>SUM(AF5:AF9)</f>
        <v>1</v>
      </c>
      <c r="AG10">
        <f>SUM(AG5:AG9)</f>
        <v>41</v>
      </c>
      <c r="AT10" s="1">
        <f>SUM(AT5:AT9)</f>
        <v>1</v>
      </c>
      <c r="AU10">
        <f>SUM(AU5:AU9)</f>
        <v>41</v>
      </c>
      <c r="BH10" s="1">
        <f>SUM(BH5:BH9)</f>
        <v>1</v>
      </c>
      <c r="BI10">
        <f>SUM(BI5:BI9)</f>
        <v>41</v>
      </c>
      <c r="BV10" s="1">
        <f>SUM(BV5:BV9)</f>
        <v>1</v>
      </c>
      <c r="BW10">
        <f>SUM(BW5:BW9)</f>
        <v>41</v>
      </c>
    </row>
    <row r="12" spans="2:75" x14ac:dyDescent="0.25">
      <c r="C12" t="s">
        <v>5</v>
      </c>
      <c r="D12" s="2"/>
      <c r="E12">
        <v>0</v>
      </c>
      <c r="Q12" t="s">
        <v>5</v>
      </c>
      <c r="R12" s="2"/>
      <c r="S12">
        <v>0</v>
      </c>
      <c r="AE12" t="s">
        <v>5</v>
      </c>
      <c r="AF12" s="2"/>
      <c r="AG12">
        <v>0</v>
      </c>
      <c r="AS12" t="s">
        <v>5</v>
      </c>
      <c r="AT12" s="2"/>
      <c r="AU12">
        <v>0</v>
      </c>
      <c r="BG12" t="s">
        <v>5</v>
      </c>
      <c r="BH12" s="2"/>
      <c r="BI12">
        <v>0</v>
      </c>
      <c r="BU12" t="s">
        <v>5</v>
      </c>
      <c r="BV12" s="2"/>
      <c r="BW12">
        <v>0</v>
      </c>
    </row>
    <row r="13" spans="2:75" x14ac:dyDescent="0.25">
      <c r="D13" s="1">
        <f>D10+D12</f>
        <v>1</v>
      </c>
      <c r="R13" s="1">
        <f>R10+R12</f>
        <v>1</v>
      </c>
      <c r="AF13" s="1">
        <f>AF10+AF12</f>
        <v>1</v>
      </c>
      <c r="AT13" s="1">
        <f>AT10+AT12</f>
        <v>1</v>
      </c>
      <c r="BH13" s="1">
        <f>BH10+BH12</f>
        <v>1</v>
      </c>
      <c r="BV13" s="1">
        <f>BV10+BV12</f>
        <v>1</v>
      </c>
    </row>
    <row r="20" spans="2:75" ht="15.75" x14ac:dyDescent="0.25">
      <c r="B20" s="3" t="s">
        <v>7</v>
      </c>
      <c r="P20" s="3" t="s">
        <v>12</v>
      </c>
      <c r="AD20" s="3" t="s">
        <v>16</v>
      </c>
      <c r="AR20" s="3" t="s">
        <v>21</v>
      </c>
      <c r="BF20" s="3" t="s">
        <v>26</v>
      </c>
      <c r="BT20" s="3" t="s">
        <v>31</v>
      </c>
    </row>
    <row r="21" spans="2:75" x14ac:dyDescent="0.25">
      <c r="B21">
        <v>1</v>
      </c>
      <c r="C21" t="s">
        <v>0</v>
      </c>
      <c r="D21" s="1">
        <f>E21/$K$2</f>
        <v>0.41463414634146339</v>
      </c>
      <c r="E21">
        <f>16+1</f>
        <v>17</v>
      </c>
      <c r="P21">
        <v>1</v>
      </c>
      <c r="Q21" t="s">
        <v>0</v>
      </c>
      <c r="R21" s="1">
        <f>S21/$K$2</f>
        <v>0.14634146341463414</v>
      </c>
      <c r="S21">
        <v>6</v>
      </c>
      <c r="AD21">
        <v>1</v>
      </c>
      <c r="AE21" t="s">
        <v>0</v>
      </c>
      <c r="AF21" s="1">
        <f>AG21/$K$2</f>
        <v>0.34146341463414637</v>
      </c>
      <c r="AG21">
        <f>13+1</f>
        <v>14</v>
      </c>
      <c r="AR21">
        <v>1</v>
      </c>
      <c r="AS21" t="s">
        <v>0</v>
      </c>
      <c r="AT21" s="1">
        <f>AU21/$K$2</f>
        <v>0.21951219512195122</v>
      </c>
      <c r="AU21">
        <f>8+1</f>
        <v>9</v>
      </c>
      <c r="BF21">
        <v>1</v>
      </c>
      <c r="BG21" t="s">
        <v>0</v>
      </c>
      <c r="BH21" s="1">
        <f>BI21/$K$2</f>
        <v>0.24390243902439024</v>
      </c>
      <c r="BI21">
        <f>9+1</f>
        <v>10</v>
      </c>
      <c r="BT21">
        <v>1</v>
      </c>
      <c r="BU21" t="s">
        <v>0</v>
      </c>
      <c r="BV21" s="1">
        <f>BW21/$K$2</f>
        <v>0.6097560975609756</v>
      </c>
      <c r="BW21">
        <f>23+1+1</f>
        <v>25</v>
      </c>
    </row>
    <row r="22" spans="2:75" x14ac:dyDescent="0.25">
      <c r="B22">
        <v>2</v>
      </c>
      <c r="C22" t="s">
        <v>1</v>
      </c>
      <c r="D22" s="1">
        <f t="shared" ref="D22:D25" si="6">E22/$K$2</f>
        <v>0.26829268292682928</v>
      </c>
      <c r="E22">
        <f>9+1+1</f>
        <v>11</v>
      </c>
      <c r="P22">
        <v>2</v>
      </c>
      <c r="Q22" t="s">
        <v>1</v>
      </c>
      <c r="R22" s="1">
        <f t="shared" ref="R22:R25" si="7">S22/$K$2</f>
        <v>0.36585365853658536</v>
      </c>
      <c r="S22">
        <f>13+1+1</f>
        <v>15</v>
      </c>
      <c r="AD22">
        <v>2</v>
      </c>
      <c r="AE22" t="s">
        <v>1</v>
      </c>
      <c r="AF22" s="1">
        <f t="shared" ref="AF22:AF25" si="8">AG22/$K$2</f>
        <v>0.1951219512195122</v>
      </c>
      <c r="AG22">
        <f>4+1+1+1+1</f>
        <v>8</v>
      </c>
      <c r="AR22">
        <v>2</v>
      </c>
      <c r="AS22" t="s">
        <v>1</v>
      </c>
      <c r="AT22" s="1">
        <f t="shared" ref="AT22:AT25" si="9">AU22/$K$2</f>
        <v>0.26829268292682928</v>
      </c>
      <c r="AU22">
        <f>9+1+1</f>
        <v>11</v>
      </c>
      <c r="BF22">
        <v>2</v>
      </c>
      <c r="BG22" t="s">
        <v>1</v>
      </c>
      <c r="BH22" s="1">
        <f t="shared" ref="BH22:BH25" si="10">BI22/$K$2</f>
        <v>0.21951219512195122</v>
      </c>
      <c r="BI22">
        <f>8+1</f>
        <v>9</v>
      </c>
      <c r="BT22">
        <v>2</v>
      </c>
      <c r="BU22" t="s">
        <v>1</v>
      </c>
      <c r="BV22" s="1">
        <f t="shared" ref="BV22:BV25" si="11">BW22/$K$2</f>
        <v>0.21951219512195122</v>
      </c>
      <c r="BW22">
        <v>9</v>
      </c>
    </row>
    <row r="23" spans="2:75" x14ac:dyDescent="0.25">
      <c r="B23">
        <v>3</v>
      </c>
      <c r="C23" t="s">
        <v>2</v>
      </c>
      <c r="D23" s="1">
        <f t="shared" si="6"/>
        <v>0.17073170731707318</v>
      </c>
      <c r="E23">
        <f>4+1+1+1</f>
        <v>7</v>
      </c>
      <c r="P23">
        <v>3</v>
      </c>
      <c r="Q23" t="s">
        <v>2</v>
      </c>
      <c r="R23" s="1">
        <f t="shared" si="7"/>
        <v>0.29268292682926828</v>
      </c>
      <c r="S23">
        <f>10+1+1</f>
        <v>12</v>
      </c>
      <c r="AD23">
        <v>3</v>
      </c>
      <c r="AE23" t="s">
        <v>2</v>
      </c>
      <c r="AF23" s="1">
        <f t="shared" si="8"/>
        <v>0.24390243902439024</v>
      </c>
      <c r="AG23">
        <f>8+1+1</f>
        <v>10</v>
      </c>
      <c r="AR23">
        <v>3</v>
      </c>
      <c r="AS23" t="s">
        <v>2</v>
      </c>
      <c r="AT23" s="1">
        <f t="shared" si="9"/>
        <v>0.21951219512195122</v>
      </c>
      <c r="AU23">
        <f>8+1</f>
        <v>9</v>
      </c>
      <c r="BF23">
        <v>3</v>
      </c>
      <c r="BG23" t="s">
        <v>2</v>
      </c>
      <c r="BH23" s="1">
        <f t="shared" si="10"/>
        <v>0.26829268292682928</v>
      </c>
      <c r="BI23">
        <f>10+1</f>
        <v>11</v>
      </c>
      <c r="BT23">
        <v>3</v>
      </c>
      <c r="BU23" t="s">
        <v>2</v>
      </c>
      <c r="BV23" s="1">
        <f t="shared" si="11"/>
        <v>0.12195121951219512</v>
      </c>
      <c r="BW23">
        <v>5</v>
      </c>
    </row>
    <row r="24" spans="2:75" x14ac:dyDescent="0.25">
      <c r="B24">
        <v>4</v>
      </c>
      <c r="C24" t="s">
        <v>3</v>
      </c>
      <c r="D24" s="1">
        <f t="shared" si="6"/>
        <v>0.12195121951219512</v>
      </c>
      <c r="E24">
        <f>4+1</f>
        <v>5</v>
      </c>
      <c r="P24">
        <v>4</v>
      </c>
      <c r="Q24" t="s">
        <v>3</v>
      </c>
      <c r="R24" s="1">
        <f t="shared" si="7"/>
        <v>0.17073170731707318</v>
      </c>
      <c r="S24">
        <f>2+1+1+1+1+1</f>
        <v>7</v>
      </c>
      <c r="AD24">
        <v>4</v>
      </c>
      <c r="AE24" t="s">
        <v>3</v>
      </c>
      <c r="AF24" s="1">
        <f t="shared" si="8"/>
        <v>0.14634146341463414</v>
      </c>
      <c r="AG24">
        <f>5+1</f>
        <v>6</v>
      </c>
      <c r="AR24">
        <v>4</v>
      </c>
      <c r="AS24" t="s">
        <v>3</v>
      </c>
      <c r="AT24" s="1">
        <f t="shared" si="9"/>
        <v>0.17073170731707318</v>
      </c>
      <c r="AU24">
        <f>6+1</f>
        <v>7</v>
      </c>
      <c r="BF24">
        <v>4</v>
      </c>
      <c r="BG24" t="s">
        <v>3</v>
      </c>
      <c r="BH24" s="1">
        <f t="shared" si="10"/>
        <v>0.14634146341463414</v>
      </c>
      <c r="BI24">
        <f>3+1+1+1</f>
        <v>6</v>
      </c>
      <c r="BT24">
        <v>4</v>
      </c>
      <c r="BU24" t="s">
        <v>3</v>
      </c>
      <c r="BV24" s="1">
        <f t="shared" si="11"/>
        <v>2.4390243902439025E-2</v>
      </c>
      <c r="BW24">
        <v>1</v>
      </c>
    </row>
    <row r="25" spans="2:75" x14ac:dyDescent="0.25">
      <c r="B25">
        <v>5</v>
      </c>
      <c r="C25" t="s">
        <v>4</v>
      </c>
      <c r="D25" s="2">
        <f t="shared" si="6"/>
        <v>2.4390243902439025E-2</v>
      </c>
      <c r="E25" s="6">
        <v>1</v>
      </c>
      <c r="P25">
        <v>5</v>
      </c>
      <c r="Q25" t="s">
        <v>4</v>
      </c>
      <c r="R25" s="2">
        <f t="shared" si="7"/>
        <v>2.4390243902439025E-2</v>
      </c>
      <c r="S25" s="6">
        <v>1</v>
      </c>
      <c r="AD25">
        <v>5</v>
      </c>
      <c r="AE25" t="s">
        <v>4</v>
      </c>
      <c r="AF25" s="2">
        <f t="shared" si="8"/>
        <v>7.3170731707317069E-2</v>
      </c>
      <c r="AG25" s="6">
        <v>3</v>
      </c>
      <c r="AR25">
        <v>5</v>
      </c>
      <c r="AS25" t="s">
        <v>4</v>
      </c>
      <c r="AT25" s="1">
        <f t="shared" si="9"/>
        <v>0.12195121951219512</v>
      </c>
      <c r="AU25" s="6">
        <v>5</v>
      </c>
      <c r="BF25">
        <v>5</v>
      </c>
      <c r="BG25" t="s">
        <v>4</v>
      </c>
      <c r="BH25" s="9">
        <f t="shared" si="10"/>
        <v>0.12195121951219512</v>
      </c>
      <c r="BI25" s="6">
        <v>5</v>
      </c>
      <c r="BT25">
        <v>5</v>
      </c>
      <c r="BU25" t="s">
        <v>4</v>
      </c>
      <c r="BV25" s="2">
        <f t="shared" si="11"/>
        <v>2.4390243902439025E-2</v>
      </c>
      <c r="BW25" s="6">
        <v>1</v>
      </c>
    </row>
    <row r="26" spans="2:75" x14ac:dyDescent="0.25">
      <c r="D26" s="1">
        <f>SUM(D21:D25)</f>
        <v>1</v>
      </c>
      <c r="E26">
        <f>SUM(E21:E25)</f>
        <v>41</v>
      </c>
      <c r="R26" s="1">
        <f>SUM(R21:R25)</f>
        <v>1</v>
      </c>
      <c r="S26">
        <f>SUM(S21:S25)</f>
        <v>41</v>
      </c>
      <c r="AF26" s="1">
        <f>SUM(AF21:AF25)</f>
        <v>1</v>
      </c>
      <c r="AG26">
        <f>SUM(AG21:AG25)</f>
        <v>41</v>
      </c>
      <c r="AT26" s="1">
        <f>SUM(AT21:AT25)</f>
        <v>1</v>
      </c>
      <c r="AU26">
        <f>SUM(AU21:AU25)</f>
        <v>41</v>
      </c>
      <c r="BH26" s="1">
        <f>SUM(BH21:BH25)</f>
        <v>1</v>
      </c>
      <c r="BI26">
        <f>SUM(BI21:BI25)</f>
        <v>41</v>
      </c>
      <c r="BV26" s="1">
        <f>SUM(BV21:BV25)</f>
        <v>1</v>
      </c>
      <c r="BW26">
        <f>SUM(BW21:BW25)</f>
        <v>41</v>
      </c>
    </row>
    <row r="28" spans="2:75" x14ac:dyDescent="0.25">
      <c r="C28" t="s">
        <v>5</v>
      </c>
      <c r="D28" s="2"/>
      <c r="E28">
        <v>0</v>
      </c>
      <c r="Q28" t="s">
        <v>5</v>
      </c>
      <c r="R28" s="2"/>
      <c r="S28">
        <v>0</v>
      </c>
      <c r="AE28" t="s">
        <v>5</v>
      </c>
      <c r="AF28" s="2"/>
      <c r="AG28">
        <v>0</v>
      </c>
      <c r="AS28" t="s">
        <v>5</v>
      </c>
      <c r="AT28" s="2"/>
      <c r="AU28">
        <v>0</v>
      </c>
      <c r="BG28" t="s">
        <v>5</v>
      </c>
      <c r="BH28" s="2"/>
      <c r="BI28">
        <v>0</v>
      </c>
      <c r="BU28" t="s">
        <v>5</v>
      </c>
      <c r="BV28" s="2"/>
      <c r="BW28">
        <v>0</v>
      </c>
    </row>
    <row r="29" spans="2:75" x14ac:dyDescent="0.25">
      <c r="D29" s="1">
        <f>D26+D28</f>
        <v>1</v>
      </c>
      <c r="R29" s="1">
        <f>R26+R28</f>
        <v>1</v>
      </c>
      <c r="AF29" s="1">
        <f>AF26+AF28</f>
        <v>1</v>
      </c>
      <c r="AT29" s="1">
        <f>AT26+AT28</f>
        <v>1</v>
      </c>
      <c r="BH29" s="1">
        <f>BH26+BH28</f>
        <v>1</v>
      </c>
      <c r="BV29" s="1">
        <f>BV26+BV28</f>
        <v>1</v>
      </c>
    </row>
    <row r="30" spans="2:75" x14ac:dyDescent="0.25">
      <c r="AF30" s="8"/>
    </row>
    <row r="31" spans="2:75" x14ac:dyDescent="0.25">
      <c r="AF31" s="8"/>
    </row>
    <row r="32" spans="2:75" x14ac:dyDescent="0.25">
      <c r="AE32" s="10" t="s">
        <v>47</v>
      </c>
      <c r="AF32" s="11">
        <v>3</v>
      </c>
    </row>
    <row r="33" spans="2:75" x14ac:dyDescent="0.25">
      <c r="AE33" s="10" t="s">
        <v>51</v>
      </c>
      <c r="AF33" s="11">
        <v>1</v>
      </c>
    </row>
    <row r="34" spans="2:75" x14ac:dyDescent="0.25">
      <c r="AE34" s="10" t="s">
        <v>52</v>
      </c>
      <c r="AF34" s="11">
        <v>2</v>
      </c>
    </row>
    <row r="36" spans="2:75" ht="15.75" x14ac:dyDescent="0.25">
      <c r="B36" s="3" t="s">
        <v>8</v>
      </c>
      <c r="P36" s="3" t="s">
        <v>13</v>
      </c>
      <c r="AD36" s="3" t="s">
        <v>17</v>
      </c>
      <c r="AR36" s="3" t="s">
        <v>22</v>
      </c>
      <c r="BF36" s="3" t="s">
        <v>27</v>
      </c>
      <c r="BT36" s="3" t="s">
        <v>32</v>
      </c>
    </row>
    <row r="37" spans="2:75" x14ac:dyDescent="0.25">
      <c r="B37">
        <v>1</v>
      </c>
      <c r="C37" t="s">
        <v>0</v>
      </c>
      <c r="D37" s="1">
        <f>E37/$K$2</f>
        <v>0.12195121951219512</v>
      </c>
      <c r="E37">
        <v>5</v>
      </c>
      <c r="P37">
        <v>1</v>
      </c>
      <c r="Q37" t="s">
        <v>0</v>
      </c>
      <c r="R37" s="1">
        <f>S37/$K$2</f>
        <v>9.7560975609756101E-2</v>
      </c>
      <c r="S37">
        <v>4</v>
      </c>
      <c r="AD37">
        <v>1</v>
      </c>
      <c r="AE37" t="s">
        <v>0</v>
      </c>
      <c r="AF37" s="1">
        <f>AG37/$K$2</f>
        <v>0.56097560975609762</v>
      </c>
      <c r="AG37">
        <f>21+1+1</f>
        <v>23</v>
      </c>
      <c r="AR37">
        <v>1</v>
      </c>
      <c r="AS37" t="s">
        <v>0</v>
      </c>
      <c r="AT37" s="1">
        <f>AU37/$K$2</f>
        <v>0.1951219512195122</v>
      </c>
      <c r="AU37">
        <v>8</v>
      </c>
      <c r="BF37">
        <v>1</v>
      </c>
      <c r="BG37" t="s">
        <v>0</v>
      </c>
      <c r="BH37" s="1">
        <f>BI37/$K$2</f>
        <v>0.36585365853658536</v>
      </c>
      <c r="BI37">
        <v>15</v>
      </c>
      <c r="BT37">
        <v>1</v>
      </c>
      <c r="BU37" t="s">
        <v>0</v>
      </c>
      <c r="BV37" s="1">
        <f>BW37/$K$2</f>
        <v>0.21951219512195122</v>
      </c>
      <c r="BW37">
        <v>9</v>
      </c>
    </row>
    <row r="38" spans="2:75" x14ac:dyDescent="0.25">
      <c r="B38">
        <v>2</v>
      </c>
      <c r="C38" t="s">
        <v>1</v>
      </c>
      <c r="D38" s="1">
        <f t="shared" ref="D38:D41" si="12">E38/$K$2</f>
        <v>0.41463414634146339</v>
      </c>
      <c r="E38">
        <f>14+1+1+1</f>
        <v>17</v>
      </c>
      <c r="P38">
        <v>2</v>
      </c>
      <c r="Q38" t="s">
        <v>1</v>
      </c>
      <c r="R38" s="1">
        <f t="shared" ref="R38:R41" si="13">S38/$K$2</f>
        <v>0.26829268292682928</v>
      </c>
      <c r="S38">
        <f>9+1+1</f>
        <v>11</v>
      </c>
      <c r="AD38">
        <v>2</v>
      </c>
      <c r="AE38" t="s">
        <v>1</v>
      </c>
      <c r="AF38" s="1">
        <f t="shared" ref="AF38:AF41" si="14">AG38/$K$2</f>
        <v>0.41463414634146339</v>
      </c>
      <c r="AG38">
        <f>16+1</f>
        <v>17</v>
      </c>
      <c r="AR38">
        <v>2</v>
      </c>
      <c r="AS38" t="s">
        <v>1</v>
      </c>
      <c r="AT38" s="1">
        <f t="shared" ref="AT38:AT41" si="15">AU38/$K$2</f>
        <v>0.43902439024390244</v>
      </c>
      <c r="AU38">
        <v>18</v>
      </c>
      <c r="BF38">
        <v>2</v>
      </c>
      <c r="BG38" t="s">
        <v>1</v>
      </c>
      <c r="BH38" s="1">
        <f t="shared" ref="BH38:BH41" si="16">BI38/$K$2</f>
        <v>0.51219512195121952</v>
      </c>
      <c r="BI38">
        <v>21</v>
      </c>
      <c r="BT38">
        <v>2</v>
      </c>
      <c r="BU38" t="s">
        <v>1</v>
      </c>
      <c r="BV38" s="1">
        <f t="shared" ref="BV38:BV41" si="17">BW38/$K$2</f>
        <v>0.14634146341463414</v>
      </c>
      <c r="BW38">
        <f>4+1+1</f>
        <v>6</v>
      </c>
    </row>
    <row r="39" spans="2:75" x14ac:dyDescent="0.25">
      <c r="B39">
        <v>3</v>
      </c>
      <c r="C39" t="s">
        <v>2</v>
      </c>
      <c r="D39" s="1">
        <f t="shared" si="12"/>
        <v>0.26829268292682928</v>
      </c>
      <c r="E39">
        <f>10+1</f>
        <v>11</v>
      </c>
      <c r="P39">
        <v>3</v>
      </c>
      <c r="Q39" t="s">
        <v>2</v>
      </c>
      <c r="R39" s="1">
        <f t="shared" si="13"/>
        <v>0.29268292682926828</v>
      </c>
      <c r="S39">
        <f>11+1</f>
        <v>12</v>
      </c>
      <c r="AD39">
        <v>3</v>
      </c>
      <c r="AE39" t="s">
        <v>2</v>
      </c>
      <c r="AF39" s="1">
        <f t="shared" si="14"/>
        <v>2.4390243902439025E-2</v>
      </c>
      <c r="AG39">
        <v>1</v>
      </c>
      <c r="AR39">
        <v>3</v>
      </c>
      <c r="AS39" t="s">
        <v>2</v>
      </c>
      <c r="AT39" s="1">
        <f t="shared" si="15"/>
        <v>0.31707317073170732</v>
      </c>
      <c r="AU39">
        <v>13</v>
      </c>
      <c r="BF39">
        <v>3</v>
      </c>
      <c r="BG39" t="s">
        <v>2</v>
      </c>
      <c r="BH39" s="1">
        <f t="shared" si="16"/>
        <v>9.7560975609756101E-2</v>
      </c>
      <c r="BI39">
        <v>4</v>
      </c>
      <c r="BT39">
        <v>3</v>
      </c>
      <c r="BU39" t="s">
        <v>2</v>
      </c>
      <c r="BV39" s="1">
        <f t="shared" si="17"/>
        <v>0.26829268292682928</v>
      </c>
      <c r="BW39">
        <v>11</v>
      </c>
    </row>
    <row r="40" spans="2:75" x14ac:dyDescent="0.25">
      <c r="B40">
        <v>4</v>
      </c>
      <c r="C40" t="s">
        <v>3</v>
      </c>
      <c r="D40" s="1">
        <f t="shared" si="12"/>
        <v>0.12195121951219512</v>
      </c>
      <c r="E40">
        <v>5</v>
      </c>
      <c r="P40">
        <v>4</v>
      </c>
      <c r="Q40" t="s">
        <v>3</v>
      </c>
      <c r="R40" s="1">
        <f t="shared" si="13"/>
        <v>0.14634146341463414</v>
      </c>
      <c r="S40">
        <f>5+1</f>
        <v>6</v>
      </c>
      <c r="AD40">
        <v>4</v>
      </c>
      <c r="AE40" t="s">
        <v>3</v>
      </c>
      <c r="AF40" s="1">
        <f t="shared" si="14"/>
        <v>0</v>
      </c>
      <c r="AG40">
        <v>0</v>
      </c>
      <c r="AR40">
        <v>4</v>
      </c>
      <c r="AS40" t="s">
        <v>3</v>
      </c>
      <c r="AT40" s="1">
        <f t="shared" si="15"/>
        <v>4.878048780487805E-2</v>
      </c>
      <c r="AU40">
        <f>1+1</f>
        <v>2</v>
      </c>
      <c r="BF40">
        <v>4</v>
      </c>
      <c r="BG40" t="s">
        <v>3</v>
      </c>
      <c r="BH40" s="1">
        <f t="shared" si="16"/>
        <v>2.4390243902439025E-2</v>
      </c>
      <c r="BI40">
        <v>1</v>
      </c>
      <c r="BT40">
        <v>4</v>
      </c>
      <c r="BU40" t="s">
        <v>3</v>
      </c>
      <c r="BV40" s="1">
        <f t="shared" si="17"/>
        <v>0.14634146341463414</v>
      </c>
      <c r="BW40">
        <v>6</v>
      </c>
    </row>
    <row r="41" spans="2:75" x14ac:dyDescent="0.25">
      <c r="B41">
        <v>5</v>
      </c>
      <c r="C41" t="s">
        <v>4</v>
      </c>
      <c r="D41" s="2">
        <f t="shared" si="12"/>
        <v>7.3170731707317069E-2</v>
      </c>
      <c r="E41" s="6">
        <v>3</v>
      </c>
      <c r="P41">
        <v>5</v>
      </c>
      <c r="Q41" t="s">
        <v>4</v>
      </c>
      <c r="R41" s="2">
        <f t="shared" si="13"/>
        <v>0.1951219512195122</v>
      </c>
      <c r="S41" s="6">
        <v>8</v>
      </c>
      <c r="AD41">
        <v>5</v>
      </c>
      <c r="AE41" t="s">
        <v>4</v>
      </c>
      <c r="AF41" s="2">
        <f t="shared" si="14"/>
        <v>0</v>
      </c>
      <c r="AG41" s="6">
        <v>0</v>
      </c>
      <c r="AR41">
        <v>5</v>
      </c>
      <c r="AS41" t="s">
        <v>4</v>
      </c>
      <c r="AT41" s="2">
        <f t="shared" si="15"/>
        <v>0</v>
      </c>
      <c r="AU41" s="6">
        <v>0</v>
      </c>
      <c r="BF41">
        <v>5</v>
      </c>
      <c r="BG41" t="s">
        <v>4</v>
      </c>
      <c r="BH41" s="9">
        <f t="shared" si="16"/>
        <v>0</v>
      </c>
      <c r="BI41" s="6">
        <v>0</v>
      </c>
      <c r="BT41">
        <v>5</v>
      </c>
      <c r="BU41" t="s">
        <v>4</v>
      </c>
      <c r="BV41" s="2">
        <f t="shared" si="17"/>
        <v>0.21951219512195122</v>
      </c>
      <c r="BW41" s="6">
        <v>9</v>
      </c>
    </row>
    <row r="42" spans="2:75" x14ac:dyDescent="0.25">
      <c r="D42" s="1">
        <f>SUM(D37:D41)</f>
        <v>1</v>
      </c>
      <c r="E42">
        <f>SUM(E37:E41)</f>
        <v>41</v>
      </c>
      <c r="R42" s="1">
        <f>SUM(R37:R41)</f>
        <v>1</v>
      </c>
      <c r="S42">
        <f>SUM(S37:S41)</f>
        <v>41</v>
      </c>
      <c r="AF42" s="1">
        <f>SUM(AF37:AF41)</f>
        <v>1</v>
      </c>
      <c r="AG42">
        <f>SUM(AG37:AG41)</f>
        <v>41</v>
      </c>
      <c r="AT42" s="1">
        <f>SUM(AT37:AT41)</f>
        <v>1</v>
      </c>
      <c r="AU42">
        <f>SUM(AU37:AU41)</f>
        <v>41</v>
      </c>
      <c r="BH42" s="1">
        <f>SUM(BH37:BH41)</f>
        <v>1</v>
      </c>
      <c r="BI42">
        <f>SUM(BI37:BI41)</f>
        <v>41</v>
      </c>
      <c r="BV42" s="1">
        <f>SUM(BV37:BV41)</f>
        <v>1</v>
      </c>
      <c r="BW42">
        <f>SUM(BW37:BW41)</f>
        <v>41</v>
      </c>
    </row>
    <row r="44" spans="2:75" x14ac:dyDescent="0.25">
      <c r="C44" t="s">
        <v>5</v>
      </c>
      <c r="D44" s="2"/>
      <c r="E44">
        <v>0</v>
      </c>
      <c r="Q44" t="s">
        <v>5</v>
      </c>
      <c r="R44" s="2"/>
      <c r="S44">
        <v>0</v>
      </c>
      <c r="AE44" t="s">
        <v>5</v>
      </c>
      <c r="AF44" s="2"/>
      <c r="AG44">
        <v>0</v>
      </c>
      <c r="AS44" t="s">
        <v>5</v>
      </c>
      <c r="AT44" s="2"/>
      <c r="AU44">
        <v>0</v>
      </c>
      <c r="BG44" t="s">
        <v>5</v>
      </c>
      <c r="BH44" s="2"/>
      <c r="BI44">
        <v>0</v>
      </c>
      <c r="BU44" t="s">
        <v>5</v>
      </c>
      <c r="BV44" s="2"/>
      <c r="BW44">
        <v>0</v>
      </c>
    </row>
    <row r="45" spans="2:75" x14ac:dyDescent="0.25">
      <c r="D45" s="1">
        <f>D42+D44</f>
        <v>1</v>
      </c>
      <c r="R45" s="1">
        <f>R42+R44</f>
        <v>1</v>
      </c>
      <c r="AF45" s="1">
        <f>AF42+AF44</f>
        <v>1</v>
      </c>
      <c r="AT45" s="1">
        <f>AT42+AT44</f>
        <v>1</v>
      </c>
      <c r="BH45" s="1">
        <f>BH42+BH44</f>
        <v>1</v>
      </c>
      <c r="BV45" s="1">
        <f>BV42+BV44</f>
        <v>1</v>
      </c>
    </row>
    <row r="53" spans="2:75" ht="15.75" x14ac:dyDescent="0.25">
      <c r="B53" s="3" t="s">
        <v>9</v>
      </c>
      <c r="P53" s="3" t="s">
        <v>14</v>
      </c>
      <c r="AD53" s="3" t="s">
        <v>18</v>
      </c>
      <c r="AR53" s="3" t="s">
        <v>23</v>
      </c>
      <c r="BF53" s="3" t="s">
        <v>28</v>
      </c>
      <c r="BT53" s="3" t="s">
        <v>50</v>
      </c>
    </row>
    <row r="54" spans="2:75" x14ac:dyDescent="0.25">
      <c r="B54">
        <v>1</v>
      </c>
      <c r="C54" t="s">
        <v>0</v>
      </c>
      <c r="D54" s="1">
        <f>E54/$K$2</f>
        <v>0.53658536585365857</v>
      </c>
      <c r="E54">
        <v>22</v>
      </c>
      <c r="P54">
        <v>1</v>
      </c>
      <c r="Q54" t="s">
        <v>0</v>
      </c>
      <c r="R54" s="1">
        <f>S54/$K$2</f>
        <v>0.17073170731707318</v>
      </c>
      <c r="S54">
        <v>7</v>
      </c>
      <c r="AD54">
        <v>1</v>
      </c>
      <c r="AE54" t="s">
        <v>0</v>
      </c>
      <c r="AF54" s="1">
        <f>AG54/$K$2</f>
        <v>0.26829268292682928</v>
      </c>
      <c r="AG54">
        <v>11</v>
      </c>
      <c r="AR54">
        <v>1</v>
      </c>
      <c r="AS54" t="s">
        <v>0</v>
      </c>
      <c r="AT54" s="1">
        <f>AU54/$K$2</f>
        <v>0.36585365853658536</v>
      </c>
      <c r="AU54">
        <v>15</v>
      </c>
      <c r="BF54">
        <v>1</v>
      </c>
      <c r="BG54" t="s">
        <v>0</v>
      </c>
      <c r="BH54" s="1">
        <f>BI54/$K$2</f>
        <v>0.29268292682926828</v>
      </c>
      <c r="BI54">
        <v>12</v>
      </c>
      <c r="BT54">
        <v>1</v>
      </c>
      <c r="BU54" t="s">
        <v>33</v>
      </c>
      <c r="BV54" s="1">
        <f>BW54/$BW$63</f>
        <v>0.13471502590673576</v>
      </c>
      <c r="BW54">
        <v>26</v>
      </c>
    </row>
    <row r="55" spans="2:75" x14ac:dyDescent="0.25">
      <c r="B55">
        <v>2</v>
      </c>
      <c r="C55" t="s">
        <v>1</v>
      </c>
      <c r="D55" s="1">
        <f t="shared" ref="D55:D58" si="18">E55/$K$2</f>
        <v>0.31707317073170732</v>
      </c>
      <c r="E55">
        <f>12+1</f>
        <v>13</v>
      </c>
      <c r="P55">
        <v>2</v>
      </c>
      <c r="Q55" t="s">
        <v>1</v>
      </c>
      <c r="R55" s="1">
        <f t="shared" ref="R55:R58" si="19">S55/$K$2</f>
        <v>0.63414634146341464</v>
      </c>
      <c r="S55">
        <v>26</v>
      </c>
      <c r="AD55">
        <v>2</v>
      </c>
      <c r="AE55" t="s">
        <v>1</v>
      </c>
      <c r="AF55" s="1">
        <f t="shared" ref="AF55:AF58" si="20">AG55/$K$2</f>
        <v>0.41463414634146339</v>
      </c>
      <c r="AG55">
        <v>17</v>
      </c>
      <c r="AR55">
        <v>2</v>
      </c>
      <c r="AS55" t="s">
        <v>1</v>
      </c>
      <c r="AT55" s="1">
        <f t="shared" ref="AT55:AT58" si="21">AU55/$K$2</f>
        <v>0.31707317073170732</v>
      </c>
      <c r="AU55">
        <f>12+1</f>
        <v>13</v>
      </c>
      <c r="BF55">
        <v>2</v>
      </c>
      <c r="BG55" t="s">
        <v>1</v>
      </c>
      <c r="BH55" s="1">
        <f t="shared" ref="BH55:BH58" si="22">BI55/$K$2</f>
        <v>0.51219512195121952</v>
      </c>
      <c r="BI55">
        <f>19+1+1</f>
        <v>21</v>
      </c>
      <c r="BT55">
        <v>2</v>
      </c>
      <c r="BU55" t="s">
        <v>34</v>
      </c>
      <c r="BV55" s="1">
        <f t="shared" ref="BV55:BV62" si="23">BW55/$BW$63</f>
        <v>0.12435233160621761</v>
      </c>
      <c r="BW55">
        <v>24</v>
      </c>
    </row>
    <row r="56" spans="2:75" x14ac:dyDescent="0.25">
      <c r="B56">
        <v>3</v>
      </c>
      <c r="C56" t="s">
        <v>2</v>
      </c>
      <c r="D56" s="1">
        <f t="shared" si="18"/>
        <v>7.3170731707317069E-2</v>
      </c>
      <c r="E56">
        <v>3</v>
      </c>
      <c r="P56">
        <v>3</v>
      </c>
      <c r="Q56" t="s">
        <v>2</v>
      </c>
      <c r="R56" s="1">
        <f t="shared" si="19"/>
        <v>0.17073170731707318</v>
      </c>
      <c r="S56">
        <f>6+1</f>
        <v>7</v>
      </c>
      <c r="AD56">
        <v>3</v>
      </c>
      <c r="AE56" t="s">
        <v>2</v>
      </c>
      <c r="AF56" s="1">
        <f t="shared" si="20"/>
        <v>0.26829268292682928</v>
      </c>
      <c r="AG56">
        <f>10+1</f>
        <v>11</v>
      </c>
      <c r="AR56">
        <v>3</v>
      </c>
      <c r="AS56" t="s">
        <v>2</v>
      </c>
      <c r="AT56" s="1">
        <f t="shared" si="21"/>
        <v>0.17073170731707318</v>
      </c>
      <c r="AU56">
        <f>5+1+1</f>
        <v>7</v>
      </c>
      <c r="BF56">
        <v>3</v>
      </c>
      <c r="BG56" t="s">
        <v>2</v>
      </c>
      <c r="BH56" s="1">
        <f t="shared" si="22"/>
        <v>0.14634146341463414</v>
      </c>
      <c r="BI56">
        <v>6</v>
      </c>
      <c r="BT56">
        <v>3</v>
      </c>
      <c r="BU56" t="s">
        <v>35</v>
      </c>
      <c r="BV56" s="1">
        <f t="shared" si="23"/>
        <v>5.6994818652849742E-2</v>
      </c>
      <c r="BW56">
        <f>10+1</f>
        <v>11</v>
      </c>
    </row>
    <row r="57" spans="2:75" x14ac:dyDescent="0.25">
      <c r="B57">
        <v>4</v>
      </c>
      <c r="C57" t="s">
        <v>3</v>
      </c>
      <c r="D57" s="1">
        <f t="shared" si="18"/>
        <v>7.3170731707317069E-2</v>
      </c>
      <c r="E57">
        <f>1+1+1</f>
        <v>3</v>
      </c>
      <c r="P57">
        <v>4</v>
      </c>
      <c r="Q57" t="s">
        <v>3</v>
      </c>
      <c r="R57" s="1">
        <f t="shared" si="19"/>
        <v>2.4390243902439025E-2</v>
      </c>
      <c r="S57">
        <v>1</v>
      </c>
      <c r="AD57">
        <v>4</v>
      </c>
      <c r="AE57" t="s">
        <v>3</v>
      </c>
      <c r="AF57" s="1">
        <f t="shared" si="20"/>
        <v>4.878048780487805E-2</v>
      </c>
      <c r="AG57">
        <v>2</v>
      </c>
      <c r="AR57">
        <v>4</v>
      </c>
      <c r="AS57" t="s">
        <v>3</v>
      </c>
      <c r="AT57" s="1">
        <f t="shared" si="21"/>
        <v>0</v>
      </c>
      <c r="AU57">
        <v>0</v>
      </c>
      <c r="BF57">
        <v>4</v>
      </c>
      <c r="BG57" t="s">
        <v>3</v>
      </c>
      <c r="BH57" s="1">
        <f t="shared" si="22"/>
        <v>4.878048780487805E-2</v>
      </c>
      <c r="BI57">
        <v>2</v>
      </c>
      <c r="BT57">
        <v>4</v>
      </c>
      <c r="BU57" t="s">
        <v>36</v>
      </c>
      <c r="BV57" s="1">
        <f t="shared" si="23"/>
        <v>0.13471502590673576</v>
      </c>
      <c r="BW57">
        <v>26</v>
      </c>
    </row>
    <row r="58" spans="2:75" x14ac:dyDescent="0.25">
      <c r="B58">
        <v>5</v>
      </c>
      <c r="C58" t="s">
        <v>4</v>
      </c>
      <c r="D58" s="2">
        <f t="shared" si="18"/>
        <v>0</v>
      </c>
      <c r="E58" s="6">
        <v>0</v>
      </c>
      <c r="P58">
        <v>5</v>
      </c>
      <c r="Q58" t="s">
        <v>4</v>
      </c>
      <c r="R58" s="2">
        <f t="shared" si="19"/>
        <v>0</v>
      </c>
      <c r="S58" s="6">
        <v>0</v>
      </c>
      <c r="AD58">
        <v>5</v>
      </c>
      <c r="AE58" t="s">
        <v>4</v>
      </c>
      <c r="AF58" s="2">
        <f t="shared" si="20"/>
        <v>0</v>
      </c>
      <c r="AG58" s="6">
        <v>0</v>
      </c>
      <c r="AR58">
        <v>5</v>
      </c>
      <c r="AS58" t="s">
        <v>4</v>
      </c>
      <c r="AT58" s="2">
        <f t="shared" si="21"/>
        <v>0.14634146341463414</v>
      </c>
      <c r="AU58" s="6">
        <f>5+1</f>
        <v>6</v>
      </c>
      <c r="BF58">
        <v>5</v>
      </c>
      <c r="BG58" t="s">
        <v>4</v>
      </c>
      <c r="BH58" s="2">
        <f t="shared" si="22"/>
        <v>0</v>
      </c>
      <c r="BI58" s="6">
        <v>0</v>
      </c>
      <c r="BT58">
        <v>5</v>
      </c>
      <c r="BU58" t="s">
        <v>45</v>
      </c>
      <c r="BV58" s="1">
        <f t="shared" si="23"/>
        <v>0.15025906735751296</v>
      </c>
      <c r="BW58">
        <v>29</v>
      </c>
    </row>
    <row r="59" spans="2:75" x14ac:dyDescent="0.25">
      <c r="D59" s="1">
        <f>SUM(D54:D58)</f>
        <v>1</v>
      </c>
      <c r="E59">
        <f>SUM(E54:E58)</f>
        <v>41</v>
      </c>
      <c r="R59" s="1">
        <f>SUM(R54:R58)</f>
        <v>1</v>
      </c>
      <c r="S59">
        <f>SUM(S54:S58)</f>
        <v>41</v>
      </c>
      <c r="AF59" s="1">
        <f>SUM(AF54:AF58)</f>
        <v>1</v>
      </c>
      <c r="AG59">
        <f>SUM(AG54:AG58)</f>
        <v>41</v>
      </c>
      <c r="AT59" s="1">
        <f>SUM(AT54:AT58)</f>
        <v>1</v>
      </c>
      <c r="AU59">
        <f>SUM(AU54:AU58)</f>
        <v>41</v>
      </c>
      <c r="BH59" s="1">
        <f>SUM(BH54:BH58)</f>
        <v>1</v>
      </c>
      <c r="BI59">
        <f>SUM(BI54:BI58)</f>
        <v>41</v>
      </c>
      <c r="BT59">
        <v>6</v>
      </c>
      <c r="BU59" t="s">
        <v>37</v>
      </c>
      <c r="BV59" s="1">
        <f t="shared" si="23"/>
        <v>8.2901554404145081E-2</v>
      </c>
      <c r="BW59" s="7">
        <v>16</v>
      </c>
    </row>
    <row r="60" spans="2:75" x14ac:dyDescent="0.25">
      <c r="BT60">
        <v>7</v>
      </c>
      <c r="BU60" t="s">
        <v>38</v>
      </c>
      <c r="BV60" s="1">
        <f t="shared" si="23"/>
        <v>5.6994818652849742E-2</v>
      </c>
      <c r="BW60">
        <v>11</v>
      </c>
    </row>
    <row r="61" spans="2:75" x14ac:dyDescent="0.25">
      <c r="C61" t="s">
        <v>5</v>
      </c>
      <c r="D61" s="2"/>
      <c r="E61">
        <v>0</v>
      </c>
      <c r="Q61" t="s">
        <v>5</v>
      </c>
      <c r="R61" s="2"/>
      <c r="S61">
        <v>0</v>
      </c>
      <c r="AE61" t="s">
        <v>5</v>
      </c>
      <c r="AF61" s="2"/>
      <c r="AG61">
        <v>0</v>
      </c>
      <c r="AS61" t="s">
        <v>5</v>
      </c>
      <c r="AT61" s="2"/>
      <c r="AU61">
        <v>0</v>
      </c>
      <c r="BG61" t="s">
        <v>5</v>
      </c>
      <c r="BH61" s="2"/>
      <c r="BI61">
        <v>0</v>
      </c>
      <c r="BT61">
        <v>8</v>
      </c>
      <c r="BU61" t="s">
        <v>39</v>
      </c>
      <c r="BV61" s="1">
        <f t="shared" si="23"/>
        <v>8.2901554404145081E-2</v>
      </c>
      <c r="BW61">
        <v>16</v>
      </c>
    </row>
    <row r="62" spans="2:75" x14ac:dyDescent="0.25">
      <c r="D62" s="1">
        <f>D59+D61</f>
        <v>1</v>
      </c>
      <c r="R62" s="1">
        <f>R59+R61</f>
        <v>1</v>
      </c>
      <c r="AF62" s="1">
        <f>AF59+AF61</f>
        <v>1</v>
      </c>
      <c r="AT62" s="1">
        <f>AT59+AT61</f>
        <v>1</v>
      </c>
      <c r="BH62" s="1">
        <f>BH59+BH61</f>
        <v>1</v>
      </c>
      <c r="BT62">
        <v>9</v>
      </c>
      <c r="BU62" t="s">
        <v>40</v>
      </c>
      <c r="BV62" s="2">
        <f t="shared" si="23"/>
        <v>0.17616580310880828</v>
      </c>
      <c r="BW62" s="6">
        <v>34</v>
      </c>
    </row>
    <row r="63" spans="2:75" x14ac:dyDescent="0.25">
      <c r="BV63" s="1">
        <f>SUM(BV54:BV62)</f>
        <v>0.99999999999999989</v>
      </c>
      <c r="BW63">
        <f>SUM(BW54:BW62)</f>
        <v>193</v>
      </c>
    </row>
    <row r="65" spans="2:85" x14ac:dyDescent="0.25">
      <c r="BU65" t="s">
        <v>5</v>
      </c>
      <c r="BV65" s="2"/>
      <c r="BW65">
        <v>0</v>
      </c>
    </row>
    <row r="66" spans="2:85" x14ac:dyDescent="0.25">
      <c r="BV66" s="1">
        <f>BV63+BV65</f>
        <v>0.99999999999999989</v>
      </c>
    </row>
    <row r="70" spans="2:85" ht="15.75" x14ac:dyDescent="0.25">
      <c r="B70" s="3" t="s">
        <v>10</v>
      </c>
      <c r="P70" s="3" t="s">
        <v>15</v>
      </c>
      <c r="AD70" s="3" t="s">
        <v>19</v>
      </c>
      <c r="AR70" s="3" t="s">
        <v>24</v>
      </c>
      <c r="BF70" s="3" t="s">
        <v>29</v>
      </c>
      <c r="BT70" s="3" t="s">
        <v>41</v>
      </c>
    </row>
    <row r="71" spans="2:85" x14ac:dyDescent="0.25">
      <c r="B71">
        <v>1</v>
      </c>
      <c r="C71" t="s">
        <v>0</v>
      </c>
      <c r="D71" s="1">
        <f>E71/$K$2</f>
        <v>0.53658536585365857</v>
      </c>
      <c r="E71">
        <f>21+1</f>
        <v>22</v>
      </c>
      <c r="P71">
        <v>1</v>
      </c>
      <c r="Q71" t="s">
        <v>0</v>
      </c>
      <c r="R71" s="1">
        <f>+S71/$K$2</f>
        <v>0.14634146341463414</v>
      </c>
      <c r="S71">
        <v>6</v>
      </c>
      <c r="AD71">
        <v>1</v>
      </c>
      <c r="AE71" t="s">
        <v>0</v>
      </c>
      <c r="AF71" s="1">
        <f>AG71/$K$2</f>
        <v>0.48780487804878048</v>
      </c>
      <c r="AG71">
        <v>20</v>
      </c>
      <c r="AR71">
        <v>1</v>
      </c>
      <c r="AS71" t="s">
        <v>0</v>
      </c>
      <c r="AT71" s="1">
        <f>AU71/$K$2</f>
        <v>0.17073170731707318</v>
      </c>
      <c r="AU71">
        <v>7</v>
      </c>
      <c r="BF71">
        <v>1</v>
      </c>
      <c r="BG71" t="s">
        <v>0</v>
      </c>
      <c r="BH71" s="1">
        <f>BI71/$K$2</f>
        <v>0.46341463414634149</v>
      </c>
      <c r="BI71">
        <v>19</v>
      </c>
      <c r="BT71">
        <v>1</v>
      </c>
      <c r="BU71" t="s">
        <v>33</v>
      </c>
      <c r="BV71" s="1">
        <f>BW71/$BW$80</f>
        <v>3.5714285714285712E-2</v>
      </c>
      <c r="BW71">
        <v>1</v>
      </c>
    </row>
    <row r="72" spans="2:85" x14ac:dyDescent="0.25">
      <c r="B72">
        <v>2</v>
      </c>
      <c r="C72" t="s">
        <v>1</v>
      </c>
      <c r="D72" s="1">
        <f t="shared" ref="D72:D75" si="24">E72/$K$2</f>
        <v>0.1951219512195122</v>
      </c>
      <c r="E72">
        <f>7+1</f>
        <v>8</v>
      </c>
      <c r="P72">
        <v>2</v>
      </c>
      <c r="Q72" t="s">
        <v>1</v>
      </c>
      <c r="R72" s="1">
        <f t="shared" ref="R72:R75" si="25">+S72/$K$2</f>
        <v>0.68292682926829273</v>
      </c>
      <c r="S72">
        <v>28</v>
      </c>
      <c r="AD72">
        <v>2</v>
      </c>
      <c r="AE72" t="s">
        <v>1</v>
      </c>
      <c r="AF72" s="1">
        <f t="shared" ref="AF72:AF75" si="26">AG72/$K$2</f>
        <v>0.36585365853658536</v>
      </c>
      <c r="AG72">
        <v>15</v>
      </c>
      <c r="AR72">
        <v>2</v>
      </c>
      <c r="AS72" t="s">
        <v>1</v>
      </c>
      <c r="AT72" s="1">
        <f t="shared" ref="AT72:AT75" si="27">AU72/$K$2</f>
        <v>0.26829268292682928</v>
      </c>
      <c r="AU72">
        <f>10+1</f>
        <v>11</v>
      </c>
      <c r="BF72">
        <v>2</v>
      </c>
      <c r="BG72" t="s">
        <v>1</v>
      </c>
      <c r="BH72" s="1">
        <f t="shared" ref="BH72:BH75" si="28">BI72/$K$2</f>
        <v>0.41463414634146339</v>
      </c>
      <c r="BI72">
        <v>17</v>
      </c>
      <c r="BT72">
        <v>2</v>
      </c>
      <c r="BU72" t="s">
        <v>34</v>
      </c>
      <c r="BV72" s="1">
        <f t="shared" ref="BV72:BV79" si="29">BW72/$BW$80</f>
        <v>3.5714285714285712E-2</v>
      </c>
      <c r="BW72">
        <v>1</v>
      </c>
    </row>
    <row r="73" spans="2:85" x14ac:dyDescent="0.25">
      <c r="B73">
        <v>3</v>
      </c>
      <c r="C73" t="s">
        <v>2</v>
      </c>
      <c r="D73" s="1">
        <f t="shared" si="24"/>
        <v>0.17073170731707318</v>
      </c>
      <c r="E73">
        <f>5+1+1</f>
        <v>7</v>
      </c>
      <c r="P73">
        <v>3</v>
      </c>
      <c r="Q73" t="s">
        <v>2</v>
      </c>
      <c r="R73" s="1">
        <f t="shared" si="25"/>
        <v>9.7560975609756101E-2</v>
      </c>
      <c r="S73">
        <v>4</v>
      </c>
      <c r="AD73">
        <v>3</v>
      </c>
      <c r="AE73" t="s">
        <v>2</v>
      </c>
      <c r="AF73" s="1">
        <f t="shared" si="26"/>
        <v>0.14634146341463414</v>
      </c>
      <c r="AG73">
        <v>6</v>
      </c>
      <c r="AR73">
        <v>3</v>
      </c>
      <c r="AS73" t="s">
        <v>2</v>
      </c>
      <c r="AT73" s="1">
        <f t="shared" si="27"/>
        <v>0.14634146341463414</v>
      </c>
      <c r="AU73">
        <f>5+1</f>
        <v>6</v>
      </c>
      <c r="BF73">
        <v>3</v>
      </c>
      <c r="BG73" t="s">
        <v>2</v>
      </c>
      <c r="BH73" s="1">
        <f t="shared" si="28"/>
        <v>2.4390243902439025E-2</v>
      </c>
      <c r="BI73">
        <v>1</v>
      </c>
      <c r="BT73">
        <v>3</v>
      </c>
      <c r="BU73" t="s">
        <v>35</v>
      </c>
      <c r="BV73" s="1">
        <f t="shared" si="29"/>
        <v>0.14285714285714285</v>
      </c>
      <c r="BW73">
        <v>4</v>
      </c>
      <c r="CG73" s="10" t="s">
        <v>49</v>
      </c>
    </row>
    <row r="74" spans="2:85" x14ac:dyDescent="0.25">
      <c r="B74">
        <v>4</v>
      </c>
      <c r="C74" t="s">
        <v>3</v>
      </c>
      <c r="D74" s="1">
        <f t="shared" si="24"/>
        <v>2.4390243902439025E-2</v>
      </c>
      <c r="E74">
        <v>1</v>
      </c>
      <c r="P74">
        <v>4</v>
      </c>
      <c r="Q74" t="s">
        <v>3</v>
      </c>
      <c r="R74" s="1">
        <f t="shared" si="25"/>
        <v>4.878048780487805E-2</v>
      </c>
      <c r="S74">
        <v>2</v>
      </c>
      <c r="AD74">
        <v>4</v>
      </c>
      <c r="AE74" t="s">
        <v>3</v>
      </c>
      <c r="AF74" s="1">
        <f t="shared" si="26"/>
        <v>0</v>
      </c>
      <c r="AG74">
        <v>0</v>
      </c>
      <c r="AR74">
        <v>4</v>
      </c>
      <c r="AS74" t="s">
        <v>3</v>
      </c>
      <c r="AT74" s="1">
        <f t="shared" si="27"/>
        <v>7.3170731707317069E-2</v>
      </c>
      <c r="AU74">
        <v>3</v>
      </c>
      <c r="BF74">
        <v>4</v>
      </c>
      <c r="BG74" t="s">
        <v>3</v>
      </c>
      <c r="BH74" s="1">
        <f t="shared" si="28"/>
        <v>9.7560975609756101E-2</v>
      </c>
      <c r="BI74">
        <f>2+1+1</f>
        <v>4</v>
      </c>
      <c r="BT74">
        <v>4</v>
      </c>
      <c r="BU74" t="s">
        <v>36</v>
      </c>
      <c r="BV74" s="1">
        <f t="shared" si="29"/>
        <v>3.5714285714285712E-2</v>
      </c>
      <c r="BW74">
        <v>1</v>
      </c>
      <c r="CG74" s="10" t="s">
        <v>48</v>
      </c>
    </row>
    <row r="75" spans="2:85" x14ac:dyDescent="0.25">
      <c r="B75">
        <v>5</v>
      </c>
      <c r="C75" t="s">
        <v>4</v>
      </c>
      <c r="D75" s="2">
        <f t="shared" si="24"/>
        <v>7.3170731707317069E-2</v>
      </c>
      <c r="E75" s="6">
        <v>3</v>
      </c>
      <c r="P75">
        <v>5</v>
      </c>
      <c r="Q75" t="s">
        <v>4</v>
      </c>
      <c r="R75" s="2">
        <f t="shared" si="25"/>
        <v>2.4390243902439025E-2</v>
      </c>
      <c r="S75" s="6">
        <v>1</v>
      </c>
      <c r="AD75">
        <v>5</v>
      </c>
      <c r="AE75" t="s">
        <v>4</v>
      </c>
      <c r="AF75" s="2">
        <f t="shared" si="26"/>
        <v>0</v>
      </c>
      <c r="AG75" s="6">
        <v>0</v>
      </c>
      <c r="AR75">
        <v>5</v>
      </c>
      <c r="AS75" t="s">
        <v>4</v>
      </c>
      <c r="AT75" s="2">
        <f t="shared" si="27"/>
        <v>0.34146341463414637</v>
      </c>
      <c r="AU75" s="6">
        <v>14</v>
      </c>
      <c r="BF75">
        <v>5</v>
      </c>
      <c r="BG75" t="s">
        <v>4</v>
      </c>
      <c r="BH75" s="2">
        <f t="shared" si="28"/>
        <v>0</v>
      </c>
      <c r="BI75" s="6">
        <v>0</v>
      </c>
      <c r="BT75">
        <v>5</v>
      </c>
      <c r="BU75" t="s">
        <v>45</v>
      </c>
      <c r="BV75" s="1">
        <f t="shared" si="29"/>
        <v>3.5714285714285712E-2</v>
      </c>
      <c r="BW75">
        <v>1</v>
      </c>
      <c r="CG75" s="10" t="s">
        <v>49</v>
      </c>
    </row>
    <row r="76" spans="2:85" x14ac:dyDescent="0.25">
      <c r="D76" s="1">
        <f>SUM(D71:D75)</f>
        <v>1</v>
      </c>
      <c r="E76">
        <f>SUM(E71:E75)</f>
        <v>41</v>
      </c>
      <c r="R76" s="1">
        <f>SUM(R71:R75)</f>
        <v>1</v>
      </c>
      <c r="S76">
        <f>SUM(S71:S75)</f>
        <v>41</v>
      </c>
      <c r="AF76" s="1">
        <f>SUM(AF71:AF75)</f>
        <v>1</v>
      </c>
      <c r="AG76">
        <f>SUM(AG71:AG75)</f>
        <v>41</v>
      </c>
      <c r="AT76" s="1">
        <f>SUM(AT71:AT75)</f>
        <v>1</v>
      </c>
      <c r="AU76">
        <f>SUM(AU71:AU75)</f>
        <v>41</v>
      </c>
      <c r="BH76" s="1">
        <f>SUM(BH71:BH75)</f>
        <v>1</v>
      </c>
      <c r="BI76">
        <f>SUM(BI71:BI75)</f>
        <v>41</v>
      </c>
      <c r="BT76">
        <v>6</v>
      </c>
      <c r="BU76" t="s">
        <v>37</v>
      </c>
      <c r="BV76" s="1">
        <f t="shared" si="29"/>
        <v>0.2857142857142857</v>
      </c>
      <c r="BW76" s="7">
        <v>8</v>
      </c>
    </row>
    <row r="77" spans="2:85" x14ac:dyDescent="0.25">
      <c r="BT77">
        <v>7</v>
      </c>
      <c r="BU77" t="s">
        <v>38</v>
      </c>
      <c r="BV77" s="1">
        <f t="shared" si="29"/>
        <v>0.32142857142857145</v>
      </c>
      <c r="BW77" s="12">
        <v>9</v>
      </c>
    </row>
    <row r="78" spans="2:85" x14ac:dyDescent="0.25">
      <c r="C78" t="s">
        <v>5</v>
      </c>
      <c r="D78" s="2"/>
      <c r="E78">
        <v>0</v>
      </c>
      <c r="Q78" t="s">
        <v>5</v>
      </c>
      <c r="R78" s="2"/>
      <c r="S78">
        <v>0</v>
      </c>
      <c r="AE78" t="s">
        <v>5</v>
      </c>
      <c r="AF78" s="2"/>
      <c r="AG78">
        <v>0</v>
      </c>
      <c r="AS78" t="s">
        <v>5</v>
      </c>
      <c r="AT78" s="2"/>
      <c r="AU78">
        <v>0</v>
      </c>
      <c r="BG78" t="s">
        <v>5</v>
      </c>
      <c r="BH78" s="2"/>
      <c r="BI78">
        <v>0</v>
      </c>
      <c r="BT78">
        <v>8</v>
      </c>
      <c r="BU78" t="s">
        <v>39</v>
      </c>
      <c r="BV78" s="1">
        <f t="shared" si="29"/>
        <v>0.10714285714285714</v>
      </c>
      <c r="BW78" s="12">
        <v>3</v>
      </c>
    </row>
    <row r="79" spans="2:85" x14ac:dyDescent="0.25">
      <c r="D79" s="1">
        <f>D76+D78</f>
        <v>1</v>
      </c>
      <c r="R79" s="1">
        <f>R76+R78</f>
        <v>1</v>
      </c>
      <c r="AF79" s="1">
        <f>AF76+AF78</f>
        <v>1</v>
      </c>
      <c r="AT79" s="1">
        <f>AT76+AT78</f>
        <v>1</v>
      </c>
      <c r="BH79" s="1">
        <f>BH76+BH78</f>
        <v>1</v>
      </c>
      <c r="BT79">
        <v>9</v>
      </c>
      <c r="BU79" t="s">
        <v>40</v>
      </c>
      <c r="BV79" s="1">
        <f t="shared" si="29"/>
        <v>0</v>
      </c>
      <c r="BW79" s="6">
        <v>0</v>
      </c>
    </row>
    <row r="80" spans="2:85" x14ac:dyDescent="0.25">
      <c r="BV80" s="1">
        <f>SUM(BV71:BV79)</f>
        <v>0.99999999999999989</v>
      </c>
      <c r="BW80">
        <f>SUM(BW71:BW79)</f>
        <v>28</v>
      </c>
    </row>
    <row r="82" spans="73:75" x14ac:dyDescent="0.25">
      <c r="BU82" t="s">
        <v>5</v>
      </c>
      <c r="BV82" s="2"/>
      <c r="BW82">
        <v>0</v>
      </c>
    </row>
    <row r="83" spans="73:75" x14ac:dyDescent="0.25">
      <c r="BV83" s="1">
        <f>BV80+BV82</f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C88"/>
  <sheetViews>
    <sheetView tabSelected="1" zoomScale="40" zoomScaleNormal="40" workbookViewId="0">
      <selection activeCell="A2" sqref="A2:R2"/>
    </sheetView>
  </sheetViews>
  <sheetFormatPr baseColWidth="10" defaultRowHeight="15" x14ac:dyDescent="0.25"/>
  <cols>
    <col min="1" max="1" width="3.42578125" customWidth="1"/>
    <col min="2" max="9" width="14.42578125" customWidth="1"/>
    <col min="10" max="17" width="14.140625" customWidth="1"/>
    <col min="18" max="19" width="4.85546875" customWidth="1"/>
    <col min="20" max="35" width="14.28515625" customWidth="1"/>
    <col min="36" max="36" width="8.5703125" customWidth="1"/>
    <col min="37" max="38" width="5.140625" customWidth="1"/>
    <col min="39" max="46" width="14.28515625" customWidth="1"/>
    <col min="47" max="47" width="5.7109375" customWidth="1"/>
    <col min="48" max="54" width="14.28515625" customWidth="1"/>
    <col min="55" max="55" width="13.140625" customWidth="1"/>
    <col min="56" max="56" width="14.28515625" customWidth="1"/>
  </cols>
  <sheetData>
    <row r="2" spans="1:55" ht="47.25" customHeight="1" x14ac:dyDescent="0.25">
      <c r="A2" s="13" t="s">
        <v>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 t="s">
        <v>43</v>
      </c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L2" s="13" t="s">
        <v>43</v>
      </c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</row>
    <row r="3" spans="1:55" ht="47.25" customHeight="1" x14ac:dyDescent="0.25"/>
    <row r="5" spans="1:55" ht="21.75" customHeight="1" x14ac:dyDescent="0.25"/>
    <row r="6" spans="1:55" ht="21.75" customHeight="1" x14ac:dyDescent="0.25"/>
    <row r="7" spans="1:55" ht="21.75" customHeight="1" x14ac:dyDescent="0.25"/>
    <row r="8" spans="1:55" ht="21.75" customHeight="1" x14ac:dyDescent="0.25"/>
    <row r="9" spans="1:55" ht="21.75" customHeight="1" x14ac:dyDescent="0.25"/>
    <row r="10" spans="1:55" ht="21.75" customHeight="1" x14ac:dyDescent="0.25"/>
    <row r="11" spans="1:55" ht="21.75" customHeight="1" x14ac:dyDescent="0.25"/>
    <row r="12" spans="1:55" ht="21.75" customHeight="1" x14ac:dyDescent="0.25"/>
    <row r="13" spans="1:55" ht="21.75" customHeight="1" x14ac:dyDescent="0.25"/>
    <row r="14" spans="1:55" ht="21.75" customHeight="1" x14ac:dyDescent="0.25"/>
    <row r="15" spans="1:55" ht="21.75" customHeight="1" x14ac:dyDescent="0.25"/>
    <row r="16" spans="1:55" ht="21.75" customHeight="1" x14ac:dyDescent="0.25"/>
    <row r="17" ht="21.75" customHeight="1" x14ac:dyDescent="0.25"/>
    <row r="18" ht="21.75" customHeight="1" x14ac:dyDescent="0.25"/>
    <row r="19" ht="21.75" customHeight="1" x14ac:dyDescent="0.25"/>
    <row r="20" ht="21.75" customHeight="1" x14ac:dyDescent="0.25"/>
    <row r="21" ht="21.75" customHeight="1" x14ac:dyDescent="0.25"/>
    <row r="22" ht="21.75" customHeight="1" x14ac:dyDescent="0.25"/>
    <row r="23" ht="21.75" customHeight="1" x14ac:dyDescent="0.25"/>
    <row r="24" ht="21.75" customHeight="1" x14ac:dyDescent="0.25"/>
    <row r="25" ht="21.75" customHeight="1" x14ac:dyDescent="0.25"/>
    <row r="26" ht="21.75" customHeight="1" x14ac:dyDescent="0.25"/>
    <row r="27" ht="21.75" customHeight="1" x14ac:dyDescent="0.25"/>
    <row r="28" ht="21.75" customHeight="1" x14ac:dyDescent="0.25"/>
    <row r="29" ht="21.75" customHeight="1" x14ac:dyDescent="0.25"/>
    <row r="30" ht="21.75" customHeight="1" x14ac:dyDescent="0.25"/>
    <row r="31" ht="21.75" customHeight="1" x14ac:dyDescent="0.25"/>
    <row r="32" ht="21.75" customHeight="1" x14ac:dyDescent="0.25"/>
    <row r="33" ht="21.75" customHeight="1" x14ac:dyDescent="0.25"/>
    <row r="34" ht="21.75" customHeight="1" x14ac:dyDescent="0.25"/>
    <row r="35" ht="21.75" customHeight="1" x14ac:dyDescent="0.25"/>
    <row r="36" ht="21.75" customHeight="1" x14ac:dyDescent="0.25"/>
    <row r="37" ht="21.75" customHeight="1" x14ac:dyDescent="0.25"/>
    <row r="38" ht="21.75" customHeight="1" x14ac:dyDescent="0.25"/>
    <row r="39" ht="21.75" customHeight="1" x14ac:dyDescent="0.25"/>
    <row r="40" ht="21.75" customHeight="1" x14ac:dyDescent="0.25"/>
    <row r="41" ht="21.75" customHeight="1" x14ac:dyDescent="0.25"/>
    <row r="42" ht="21.75" customHeight="1" x14ac:dyDescent="0.25"/>
    <row r="43" ht="21.75" customHeight="1" x14ac:dyDescent="0.25"/>
    <row r="44" ht="21.75" customHeight="1" x14ac:dyDescent="0.25"/>
    <row r="45" ht="21.75" customHeight="1" x14ac:dyDescent="0.25"/>
    <row r="46" ht="21.75" customHeight="1" x14ac:dyDescent="0.25"/>
    <row r="47" ht="21.75" customHeight="1" x14ac:dyDescent="0.25"/>
    <row r="48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1.75" customHeight="1" x14ac:dyDescent="0.25"/>
    <row r="62" ht="21.75" customHeight="1" x14ac:dyDescent="0.25"/>
    <row r="63" ht="21.75" customHeight="1" x14ac:dyDescent="0.25"/>
    <row r="64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21.75" customHeight="1" x14ac:dyDescent="0.25"/>
    <row r="72" ht="21.75" customHeight="1" x14ac:dyDescent="0.25"/>
    <row r="73" ht="21.75" customHeight="1" x14ac:dyDescent="0.25"/>
    <row r="74" ht="21.75" customHeight="1" x14ac:dyDescent="0.25"/>
    <row r="75" ht="21.75" customHeight="1" x14ac:dyDescent="0.25"/>
    <row r="76" ht="21.75" customHeight="1" x14ac:dyDescent="0.25"/>
    <row r="77" ht="21.75" customHeight="1" x14ac:dyDescent="0.25"/>
    <row r="78" ht="21.75" customHeight="1" x14ac:dyDescent="0.25"/>
    <row r="79" ht="21.75" customHeight="1" x14ac:dyDescent="0.25"/>
    <row r="80" ht="21.75" customHeight="1" x14ac:dyDescent="0.25"/>
    <row r="81" spans="18:55" ht="21.75" customHeight="1" x14ac:dyDescent="0.25"/>
    <row r="82" spans="18:55" ht="21.75" customHeight="1" x14ac:dyDescent="0.25"/>
    <row r="83" spans="18:55" ht="21.75" customHeight="1" x14ac:dyDescent="0.25"/>
    <row r="84" spans="18:55" ht="21.75" customHeight="1" x14ac:dyDescent="0.25"/>
    <row r="85" spans="18:55" ht="21.75" customHeight="1" x14ac:dyDescent="0.25"/>
    <row r="86" spans="18:55" ht="21.75" customHeight="1" x14ac:dyDescent="0.25"/>
    <row r="87" spans="18:55" ht="21.75" customHeight="1" x14ac:dyDescent="0.25"/>
    <row r="88" spans="18:55" ht="18.75" x14ac:dyDescent="0.3">
      <c r="R88" s="14">
        <v>1</v>
      </c>
      <c r="AJ88" s="14">
        <v>2</v>
      </c>
      <c r="BC88" s="14">
        <v>3</v>
      </c>
    </row>
  </sheetData>
  <mergeCells count="3">
    <mergeCell ref="A2:R2"/>
    <mergeCell ref="S2:AJ2"/>
    <mergeCell ref="AL2:BC2"/>
  </mergeCells>
  <pageMargins left="0.62992125984251968" right="0.23622047244094491" top="0.74803149606299213" bottom="0.7480314960629921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Resultados</vt:lpstr>
      <vt:lpstr>Gráficos</vt:lpstr>
      <vt:lpstr>Hoja3</vt:lpstr>
      <vt:lpstr>Gráficos!Área_de_impresión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</dc:creator>
  <cp:lastModifiedBy>isabel</cp:lastModifiedBy>
  <cp:lastPrinted>2015-12-29T18:55:20Z</cp:lastPrinted>
  <dcterms:created xsi:type="dcterms:W3CDTF">2015-12-07T16:30:22Z</dcterms:created>
  <dcterms:modified xsi:type="dcterms:W3CDTF">2015-12-29T18:57:19Z</dcterms:modified>
</cp:coreProperties>
</file>